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blOZlcQafL8RA3c/y+j4PAnTAJuUum8kUzSu8Y1hR0="/>
    </ext>
  </extLst>
</workbook>
</file>

<file path=xl/sharedStrings.xml><?xml version="1.0" encoding="utf-8"?>
<sst xmlns="http://schemas.openxmlformats.org/spreadsheetml/2006/main" count="20" uniqueCount="19">
  <si>
    <t>SIP / Month</t>
  </si>
  <si>
    <t>Lumpsum</t>
  </si>
  <si>
    <t>Total Investment</t>
  </si>
  <si>
    <t>"Planning takes you nearer to your goal, action ensures you reach it"</t>
  </si>
  <si>
    <t>SIP Period</t>
  </si>
  <si>
    <t>Return</t>
  </si>
  <si>
    <t>Retirement Expenses / Yr</t>
  </si>
  <si>
    <t>Accumulation Stage</t>
  </si>
  <si>
    <t>Retirement Stage</t>
  </si>
  <si>
    <t>Year</t>
  </si>
  <si>
    <t>Monthly SIP Amt</t>
  </si>
  <si>
    <t>Amount @ Beginning</t>
  </si>
  <si>
    <t>Gain / Yr</t>
  </si>
  <si>
    <t>Amt @ Yr end</t>
  </si>
  <si>
    <t>Your Age</t>
  </si>
  <si>
    <t>Amt @ Year Beginning</t>
  </si>
  <si>
    <t>Gain @ 9% / Annum</t>
  </si>
  <si>
    <t>Annual Household Expenses</t>
  </si>
  <si>
    <t>Amount @ year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</si>
</sst>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_(* #,##0_);_(* \(#,##0\);_(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37" xfId="0" applyAlignment="1" applyBorder="1" applyFont="1" applyNumberFormat="1">
      <alignment horizontal="left" shrinkToFit="0" vertical="center" wrapText="1"/>
    </xf>
    <xf borderId="4" fillId="2" fontId="3" numFmtId="164" xfId="0" applyAlignment="1" applyBorder="1" applyFill="1" applyFont="1" applyNumberFormat="1">
      <alignment horizontal="right" readingOrder="0" shrinkToFit="0" vertical="center" wrapText="1"/>
    </xf>
    <xf borderId="4" fillId="0" fontId="1" numFmtId="164" xfId="0" applyAlignment="1" applyBorder="1" applyFont="1" applyNumberFormat="1">
      <alignment horizontal="left" shrinkToFit="0" vertical="center" wrapText="1"/>
    </xf>
    <xf borderId="4" fillId="0" fontId="3" numFmtId="164" xfId="0" applyAlignment="1" applyBorder="1" applyFont="1" applyNumberFormat="1">
      <alignment horizontal="right" shrinkToFit="0" vertical="center" wrapText="1"/>
    </xf>
    <xf borderId="5" fillId="0" fontId="1" numFmtId="165" xfId="0" applyAlignment="1" applyBorder="1" applyFont="1" applyNumberForma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0" fontId="3" numFmtId="164" xfId="0" applyAlignment="1" applyBorder="1" applyFont="1" applyNumberFormat="1">
      <alignment horizontal="right" readingOrder="0" shrinkToFit="0" vertical="center" wrapText="1"/>
    </xf>
    <xf borderId="4" fillId="2" fontId="3" numFmtId="164" xfId="0" applyAlignment="1" applyBorder="1" applyFill="1" applyFont="1" applyNumberFormat="1">
      <alignment horizontal="right" shrinkToFit="0" vertical="center" wrapText="1"/>
    </xf>
    <xf borderId="4" fillId="0" fontId="3" numFmtId="164" xfId="0" applyAlignment="1" applyBorder="1" applyFont="1" applyNumberFormat="1">
      <alignment horizontal="righ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1" numFmtId="37" xfId="0" applyAlignment="1" applyBorder="1" applyFill="1" applyFont="1" applyNumberFormat="1">
      <alignment shrinkToFit="0" vertical="center" wrapText="1"/>
    </xf>
    <xf borderId="1" fillId="4" fontId="1" numFmtId="164" xfId="0" applyAlignment="1" applyBorder="1" applyFill="1" applyFont="1" applyNumberFormat="1">
      <alignment horizontal="center" vertical="center"/>
    </xf>
    <xf borderId="4" fillId="3" fontId="1" numFmtId="37" xfId="0" applyAlignment="1" applyBorder="1" applyFill="1" applyFont="1" applyNumberFormat="1">
      <alignment horizontal="center" shrinkToFit="0" vertical="center" wrapText="1"/>
    </xf>
    <xf borderId="4" fillId="3" fontId="1" numFmtId="164" xfId="0" applyAlignment="1" applyBorder="1" applyFill="1" applyFont="1" applyNumberFormat="1">
      <alignment horizontal="center" shrinkToFit="0" vertical="center" wrapText="1"/>
    </xf>
    <xf borderId="4" fillId="4" fontId="1" numFmtId="164" xfId="0" applyAlignment="1" applyBorder="1" applyFill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4" fillId="0" fontId="3" numFmtId="164" xfId="0" applyBorder="1" applyFont="1" applyNumberFormat="1"/>
    <xf borderId="4" fillId="0" fontId="3" numFmtId="164" xfId="0" applyAlignment="1" applyBorder="1" applyFont="1" applyNumberFormat="1">
      <alignment horizontal="left"/>
    </xf>
    <xf borderId="4" fillId="5" fontId="3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466725</xdr:colOff>
      <xdr:row>1</xdr:row>
      <xdr:rowOff>76200</xdr:rowOff>
    </xdr:from>
    <xdr:ext cx="1276350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4" width="14.29"/>
    <col customWidth="1" min="5" max="5" width="15.29"/>
    <col customWidth="1" min="6" max="7" width="12.57"/>
    <col customWidth="1" min="8" max="8" width="16.86"/>
    <col customWidth="1" min="9" max="9" width="15.29"/>
    <col customWidth="1" min="10" max="10" width="12.57"/>
    <col customWidth="1" min="11" max="11" width="15.29"/>
    <col customWidth="1" min="12" max="2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0</v>
      </c>
      <c r="B2" s="5">
        <v>35000.0</v>
      </c>
      <c r="C2" s="6" t="s">
        <v>1</v>
      </c>
      <c r="D2" s="5">
        <v>0.0</v>
      </c>
      <c r="E2" s="6" t="s">
        <v>2</v>
      </c>
      <c r="F2" s="7">
        <f>B2*204</f>
        <v>7140000</v>
      </c>
      <c r="G2" s="8" t="s">
        <v>3</v>
      </c>
      <c r="H2" s="9"/>
      <c r="I2" s="9"/>
      <c r="J2" s="9"/>
      <c r="K2" s="9"/>
      <c r="L2" s="9"/>
      <c r="M2" s="10"/>
    </row>
    <row r="3">
      <c r="A3" s="4" t="s">
        <v>4</v>
      </c>
      <c r="B3" s="11">
        <v>43.0</v>
      </c>
      <c r="C3" s="6" t="s">
        <v>5</v>
      </c>
      <c r="D3" s="12">
        <v>12.0</v>
      </c>
      <c r="E3" s="6" t="s">
        <v>6</v>
      </c>
      <c r="F3" s="13">
        <f>200000*12</f>
        <v>2400000</v>
      </c>
      <c r="G3" s="14"/>
      <c r="H3" s="15"/>
      <c r="I3" s="15"/>
      <c r="J3" s="15"/>
      <c r="K3" s="15"/>
      <c r="L3" s="15"/>
      <c r="M3" s="16"/>
    </row>
    <row r="5" ht="15.0" customHeight="1">
      <c r="A5" s="17" t="s">
        <v>7</v>
      </c>
      <c r="B5" s="17"/>
      <c r="C5" s="17"/>
      <c r="D5" s="17"/>
      <c r="E5" s="17"/>
      <c r="F5" s="17"/>
      <c r="G5" s="18" t="s">
        <v>8</v>
      </c>
      <c r="H5" s="2"/>
      <c r="I5" s="2"/>
      <c r="J5" s="2"/>
      <c r="K5" s="3"/>
    </row>
    <row r="6">
      <c r="A6" s="19" t="s">
        <v>9</v>
      </c>
      <c r="B6" s="20" t="s">
        <v>10</v>
      </c>
      <c r="C6" s="20" t="s">
        <v>11</v>
      </c>
      <c r="D6" s="20" t="s">
        <v>12</v>
      </c>
      <c r="E6" s="20" t="s">
        <v>13</v>
      </c>
      <c r="F6" s="20" t="s">
        <v>14</v>
      </c>
      <c r="G6" s="21" t="s">
        <v>14</v>
      </c>
      <c r="H6" s="21" t="s">
        <v>15</v>
      </c>
      <c r="I6" s="21" t="s">
        <v>16</v>
      </c>
      <c r="J6" s="21" t="s">
        <v>17</v>
      </c>
      <c r="K6" s="21" t="s">
        <v>18</v>
      </c>
    </row>
    <row r="7">
      <c r="A7" s="22">
        <v>2026.0</v>
      </c>
      <c r="B7" s="23">
        <f t="shared" ref="B7:B23" si="1">$B$2</f>
        <v>35000</v>
      </c>
      <c r="C7" s="24">
        <f>+(B7*12)+$D$2</f>
        <v>420000</v>
      </c>
      <c r="D7" s="24">
        <f>C7*$D$3%/2</f>
        <v>25200</v>
      </c>
      <c r="E7" s="24">
        <f t="shared" ref="E7:E23" si="2">C7+D7</f>
        <v>445200</v>
      </c>
      <c r="F7" s="25">
        <v>43.0</v>
      </c>
      <c r="G7" s="26">
        <f>F23+1</f>
        <v>60</v>
      </c>
      <c r="H7" s="23">
        <f>E23</f>
        <v>21763011.7</v>
      </c>
      <c r="I7" s="23">
        <f t="shared" ref="I7:I35" si="4">H7*9%</f>
        <v>1958671.053</v>
      </c>
      <c r="J7" s="23">
        <f t="shared" ref="J7:J35" si="5">$F$3</f>
        <v>2400000</v>
      </c>
      <c r="K7" s="23">
        <f t="shared" ref="K7:K35" si="6">+H7+I7-J7</f>
        <v>21321682.75</v>
      </c>
    </row>
    <row r="8">
      <c r="A8" s="22">
        <f t="shared" ref="A8:A23" si="7">A7+1</f>
        <v>2027</v>
      </c>
      <c r="B8" s="23">
        <f t="shared" si="1"/>
        <v>35000</v>
      </c>
      <c r="C8" s="24">
        <f t="shared" ref="C8:C23" si="8">+(B8*12)+$D$2+E7</f>
        <v>865200</v>
      </c>
      <c r="D8" s="24">
        <f t="shared" ref="D8:D23" si="9">+((B8*12*$D$3%/2)+(E7*$D$3%))</f>
        <v>78624</v>
      </c>
      <c r="E8" s="24">
        <f t="shared" si="2"/>
        <v>943824</v>
      </c>
      <c r="F8" s="25">
        <f t="shared" ref="F8:G8" si="3">F7+1</f>
        <v>44</v>
      </c>
      <c r="G8" s="26">
        <f t="shared" si="3"/>
        <v>61</v>
      </c>
      <c r="H8" s="23">
        <f t="shared" ref="H8:H35" si="11">K7</f>
        <v>21321682.75</v>
      </c>
      <c r="I8" s="23">
        <f t="shared" si="4"/>
        <v>1918951.447</v>
      </c>
      <c r="J8" s="23">
        <f t="shared" si="5"/>
        <v>2400000</v>
      </c>
      <c r="K8" s="23">
        <f t="shared" si="6"/>
        <v>20840634.2</v>
      </c>
    </row>
    <row r="9">
      <c r="A9" s="22">
        <f t="shared" si="7"/>
        <v>2028</v>
      </c>
      <c r="B9" s="23">
        <f t="shared" si="1"/>
        <v>35000</v>
      </c>
      <c r="C9" s="24">
        <f t="shared" si="8"/>
        <v>1363824</v>
      </c>
      <c r="D9" s="24">
        <f t="shared" si="9"/>
        <v>138458.88</v>
      </c>
      <c r="E9" s="24">
        <f t="shared" si="2"/>
        <v>1502282.88</v>
      </c>
      <c r="F9" s="25">
        <f t="shared" ref="F9:G9" si="10">F8+1</f>
        <v>45</v>
      </c>
      <c r="G9" s="26">
        <f t="shared" si="10"/>
        <v>62</v>
      </c>
      <c r="H9" s="23">
        <f t="shared" si="11"/>
        <v>20840634.2</v>
      </c>
      <c r="I9" s="23">
        <f t="shared" si="4"/>
        <v>1875657.078</v>
      </c>
      <c r="J9" s="23">
        <f t="shared" si="5"/>
        <v>2400000</v>
      </c>
      <c r="K9" s="23">
        <f t="shared" si="6"/>
        <v>20316291.27</v>
      </c>
    </row>
    <row r="10">
      <c r="A10" s="22">
        <f t="shared" si="7"/>
        <v>2029</v>
      </c>
      <c r="B10" s="23">
        <f t="shared" si="1"/>
        <v>35000</v>
      </c>
      <c r="C10" s="24">
        <f t="shared" si="8"/>
        <v>1922282.88</v>
      </c>
      <c r="D10" s="24">
        <f t="shared" si="9"/>
        <v>205473.9456</v>
      </c>
      <c r="E10" s="24">
        <f t="shared" si="2"/>
        <v>2127756.826</v>
      </c>
      <c r="F10" s="25">
        <f t="shared" ref="F10:G10" si="12">F9+1</f>
        <v>46</v>
      </c>
      <c r="G10" s="26">
        <f t="shared" si="12"/>
        <v>63</v>
      </c>
      <c r="H10" s="23">
        <f t="shared" si="11"/>
        <v>20316291.27</v>
      </c>
      <c r="I10" s="23">
        <f t="shared" si="4"/>
        <v>1828466.215</v>
      </c>
      <c r="J10" s="23">
        <f t="shared" si="5"/>
        <v>2400000</v>
      </c>
      <c r="K10" s="23">
        <f t="shared" si="6"/>
        <v>19744757.49</v>
      </c>
    </row>
    <row r="11">
      <c r="A11" s="22">
        <f t="shared" si="7"/>
        <v>2030</v>
      </c>
      <c r="B11" s="23">
        <f t="shared" si="1"/>
        <v>35000</v>
      </c>
      <c r="C11" s="24">
        <f t="shared" si="8"/>
        <v>2547756.826</v>
      </c>
      <c r="D11" s="24">
        <f t="shared" si="9"/>
        <v>280530.8191</v>
      </c>
      <c r="E11" s="24">
        <f t="shared" si="2"/>
        <v>2828287.645</v>
      </c>
      <c r="F11" s="25">
        <f t="shared" ref="F11:G11" si="13">F10+1</f>
        <v>47</v>
      </c>
      <c r="G11" s="26">
        <f t="shared" si="13"/>
        <v>64</v>
      </c>
      <c r="H11" s="23">
        <f t="shared" si="11"/>
        <v>19744757.49</v>
      </c>
      <c r="I11" s="23">
        <f t="shared" si="4"/>
        <v>1777028.174</v>
      </c>
      <c r="J11" s="23">
        <f t="shared" si="5"/>
        <v>2400000</v>
      </c>
      <c r="K11" s="23">
        <f t="shared" si="6"/>
        <v>19121785.66</v>
      </c>
    </row>
    <row r="12">
      <c r="A12" s="22">
        <f t="shared" si="7"/>
        <v>2031</v>
      </c>
      <c r="B12" s="23">
        <f t="shared" si="1"/>
        <v>35000</v>
      </c>
      <c r="C12" s="24">
        <f t="shared" si="8"/>
        <v>3248287.645</v>
      </c>
      <c r="D12" s="24">
        <f t="shared" si="9"/>
        <v>364594.5174</v>
      </c>
      <c r="E12" s="24">
        <f t="shared" si="2"/>
        <v>3612882.162</v>
      </c>
      <c r="F12" s="25">
        <f t="shared" ref="F12:G12" si="14">F11+1</f>
        <v>48</v>
      </c>
      <c r="G12" s="26">
        <f t="shared" si="14"/>
        <v>65</v>
      </c>
      <c r="H12" s="23">
        <f t="shared" si="11"/>
        <v>19121785.66</v>
      </c>
      <c r="I12" s="23">
        <f t="shared" si="4"/>
        <v>1720960.71</v>
      </c>
      <c r="J12" s="23">
        <f t="shared" si="5"/>
        <v>2400000</v>
      </c>
      <c r="K12" s="23">
        <f t="shared" si="6"/>
        <v>18442746.37</v>
      </c>
    </row>
    <row r="13">
      <c r="A13" s="22">
        <f t="shared" si="7"/>
        <v>2032</v>
      </c>
      <c r="B13" s="23">
        <f t="shared" si="1"/>
        <v>35000</v>
      </c>
      <c r="C13" s="24">
        <f t="shared" si="8"/>
        <v>4032882.162</v>
      </c>
      <c r="D13" s="24">
        <f t="shared" si="9"/>
        <v>458745.8594</v>
      </c>
      <c r="E13" s="24">
        <f t="shared" si="2"/>
        <v>4491628.021</v>
      </c>
      <c r="F13" s="25">
        <f t="shared" ref="F13:G13" si="15">F12+1</f>
        <v>49</v>
      </c>
      <c r="G13" s="26">
        <f t="shared" si="15"/>
        <v>66</v>
      </c>
      <c r="H13" s="23">
        <f t="shared" si="11"/>
        <v>18442746.37</v>
      </c>
      <c r="I13" s="23">
        <f t="shared" si="4"/>
        <v>1659847.173</v>
      </c>
      <c r="J13" s="23">
        <f t="shared" si="5"/>
        <v>2400000</v>
      </c>
      <c r="K13" s="23">
        <f t="shared" si="6"/>
        <v>17702593.55</v>
      </c>
    </row>
    <row r="14">
      <c r="A14" s="22">
        <f t="shared" si="7"/>
        <v>2033</v>
      </c>
      <c r="B14" s="23">
        <f t="shared" si="1"/>
        <v>35000</v>
      </c>
      <c r="C14" s="24">
        <f t="shared" si="8"/>
        <v>4911628.021</v>
      </c>
      <c r="D14" s="24">
        <f t="shared" si="9"/>
        <v>564195.3626</v>
      </c>
      <c r="E14" s="24">
        <f t="shared" si="2"/>
        <v>5475823.384</v>
      </c>
      <c r="F14" s="25">
        <f t="shared" ref="F14:G14" si="16">F13+1</f>
        <v>50</v>
      </c>
      <c r="G14" s="26">
        <f t="shared" si="16"/>
        <v>67</v>
      </c>
      <c r="H14" s="23">
        <f t="shared" si="11"/>
        <v>17702593.55</v>
      </c>
      <c r="I14" s="23">
        <f t="shared" si="4"/>
        <v>1593233.419</v>
      </c>
      <c r="J14" s="23">
        <f t="shared" si="5"/>
        <v>2400000</v>
      </c>
      <c r="K14" s="23">
        <f t="shared" si="6"/>
        <v>16895826.96</v>
      </c>
    </row>
    <row r="15">
      <c r="A15" s="22">
        <f t="shared" si="7"/>
        <v>2034</v>
      </c>
      <c r="B15" s="23">
        <f t="shared" si="1"/>
        <v>35000</v>
      </c>
      <c r="C15" s="24">
        <f t="shared" si="8"/>
        <v>5895823.384</v>
      </c>
      <c r="D15" s="24">
        <f t="shared" si="9"/>
        <v>682298.8061</v>
      </c>
      <c r="E15" s="24">
        <f t="shared" si="2"/>
        <v>6578122.19</v>
      </c>
      <c r="F15" s="25">
        <f t="shared" ref="F15:G15" si="17">F14+1</f>
        <v>51</v>
      </c>
      <c r="G15" s="26">
        <f t="shared" si="17"/>
        <v>68</v>
      </c>
      <c r="H15" s="23">
        <f t="shared" si="11"/>
        <v>16895826.96</v>
      </c>
      <c r="I15" s="23">
        <f t="shared" si="4"/>
        <v>1520624.427</v>
      </c>
      <c r="J15" s="23">
        <f t="shared" si="5"/>
        <v>2400000</v>
      </c>
      <c r="K15" s="23">
        <f t="shared" si="6"/>
        <v>16016451.39</v>
      </c>
    </row>
    <row r="16">
      <c r="A16" s="22">
        <f t="shared" si="7"/>
        <v>2035</v>
      </c>
      <c r="B16" s="23">
        <f t="shared" si="1"/>
        <v>35000</v>
      </c>
      <c r="C16" s="24">
        <f t="shared" si="8"/>
        <v>6998122.19</v>
      </c>
      <c r="D16" s="24">
        <f t="shared" si="9"/>
        <v>814574.6628</v>
      </c>
      <c r="E16" s="24">
        <f t="shared" si="2"/>
        <v>7812696.853</v>
      </c>
      <c r="F16" s="25">
        <f t="shared" ref="F16:G16" si="18">F15+1</f>
        <v>52</v>
      </c>
      <c r="G16" s="26">
        <f t="shared" si="18"/>
        <v>69</v>
      </c>
      <c r="H16" s="23">
        <f t="shared" si="11"/>
        <v>16016451.39</v>
      </c>
      <c r="I16" s="23">
        <f t="shared" si="4"/>
        <v>1441480.625</v>
      </c>
      <c r="J16" s="23">
        <f t="shared" si="5"/>
        <v>2400000</v>
      </c>
      <c r="K16" s="23">
        <f t="shared" si="6"/>
        <v>15057932.02</v>
      </c>
    </row>
    <row r="17">
      <c r="A17" s="22">
        <f t="shared" si="7"/>
        <v>2036</v>
      </c>
      <c r="B17" s="23">
        <f t="shared" si="1"/>
        <v>35000</v>
      </c>
      <c r="C17" s="24">
        <f t="shared" si="8"/>
        <v>8232696.853</v>
      </c>
      <c r="D17" s="24">
        <f t="shared" si="9"/>
        <v>962723.6224</v>
      </c>
      <c r="E17" s="24">
        <f t="shared" si="2"/>
        <v>9195420.475</v>
      </c>
      <c r="F17" s="25">
        <f t="shared" ref="F17:G17" si="19">F16+1</f>
        <v>53</v>
      </c>
      <c r="G17" s="26">
        <f t="shared" si="19"/>
        <v>70</v>
      </c>
      <c r="H17" s="23">
        <f t="shared" si="11"/>
        <v>15057932.02</v>
      </c>
      <c r="I17" s="23">
        <f t="shared" si="4"/>
        <v>1355213.881</v>
      </c>
      <c r="J17" s="23">
        <f t="shared" si="5"/>
        <v>2400000</v>
      </c>
      <c r="K17" s="23">
        <f t="shared" si="6"/>
        <v>14013145.9</v>
      </c>
    </row>
    <row r="18">
      <c r="A18" s="22">
        <f t="shared" si="7"/>
        <v>2037</v>
      </c>
      <c r="B18" s="23">
        <f t="shared" si="1"/>
        <v>35000</v>
      </c>
      <c r="C18" s="24">
        <f t="shared" si="8"/>
        <v>9615420.475</v>
      </c>
      <c r="D18" s="24">
        <f t="shared" si="9"/>
        <v>1128650.457</v>
      </c>
      <c r="E18" s="24">
        <f t="shared" si="2"/>
        <v>10744070.93</v>
      </c>
      <c r="F18" s="25">
        <f t="shared" ref="F18:G18" si="20">F17+1</f>
        <v>54</v>
      </c>
      <c r="G18" s="26">
        <f t="shared" si="20"/>
        <v>71</v>
      </c>
      <c r="H18" s="23">
        <f t="shared" si="11"/>
        <v>14013145.9</v>
      </c>
      <c r="I18" s="23">
        <f t="shared" si="4"/>
        <v>1261183.131</v>
      </c>
      <c r="J18" s="23">
        <f t="shared" si="5"/>
        <v>2400000</v>
      </c>
      <c r="K18" s="23">
        <f t="shared" si="6"/>
        <v>12874329.03</v>
      </c>
    </row>
    <row r="19">
      <c r="A19" s="22">
        <f t="shared" si="7"/>
        <v>2038</v>
      </c>
      <c r="B19" s="23">
        <f t="shared" si="1"/>
        <v>35000</v>
      </c>
      <c r="C19" s="24">
        <f t="shared" si="8"/>
        <v>11164070.93</v>
      </c>
      <c r="D19" s="24">
        <f t="shared" si="9"/>
        <v>1314488.512</v>
      </c>
      <c r="E19" s="24">
        <f t="shared" si="2"/>
        <v>12478559.44</v>
      </c>
      <c r="F19" s="25">
        <f t="shared" ref="F19:G19" si="21">F18+1</f>
        <v>55</v>
      </c>
      <c r="G19" s="26">
        <f t="shared" si="21"/>
        <v>72</v>
      </c>
      <c r="H19" s="23">
        <f t="shared" si="11"/>
        <v>12874329.03</v>
      </c>
      <c r="I19" s="23">
        <f t="shared" si="4"/>
        <v>1158689.613</v>
      </c>
      <c r="J19" s="23">
        <f t="shared" si="5"/>
        <v>2400000</v>
      </c>
      <c r="K19" s="23">
        <f t="shared" si="6"/>
        <v>11633018.64</v>
      </c>
    </row>
    <row r="20">
      <c r="A20" s="22">
        <f t="shared" si="7"/>
        <v>2039</v>
      </c>
      <c r="B20" s="23">
        <f t="shared" si="1"/>
        <v>35000</v>
      </c>
      <c r="C20" s="24">
        <f t="shared" si="8"/>
        <v>12898559.44</v>
      </c>
      <c r="D20" s="24">
        <f t="shared" si="9"/>
        <v>1522627.133</v>
      </c>
      <c r="E20" s="24">
        <f t="shared" si="2"/>
        <v>14421186.58</v>
      </c>
      <c r="F20" s="25">
        <f t="shared" ref="F20:G20" si="22">F19+1</f>
        <v>56</v>
      </c>
      <c r="G20" s="26">
        <f t="shared" si="22"/>
        <v>73</v>
      </c>
      <c r="H20" s="23">
        <f t="shared" si="11"/>
        <v>11633018.64</v>
      </c>
      <c r="I20" s="23">
        <f t="shared" si="4"/>
        <v>1046971.678</v>
      </c>
      <c r="J20" s="23">
        <f t="shared" si="5"/>
        <v>2400000</v>
      </c>
      <c r="K20" s="23">
        <f t="shared" si="6"/>
        <v>10279990.32</v>
      </c>
    </row>
    <row r="21" ht="15.75" customHeight="1">
      <c r="A21" s="22">
        <f t="shared" si="7"/>
        <v>2040</v>
      </c>
      <c r="B21" s="23">
        <f t="shared" si="1"/>
        <v>35000</v>
      </c>
      <c r="C21" s="24">
        <f t="shared" si="8"/>
        <v>14841186.58</v>
      </c>
      <c r="D21" s="24">
        <f t="shared" si="9"/>
        <v>1755742.389</v>
      </c>
      <c r="E21" s="24">
        <f t="shared" si="2"/>
        <v>16596928.97</v>
      </c>
      <c r="F21" s="25">
        <f t="shared" ref="F21:G21" si="23">F20+1</f>
        <v>57</v>
      </c>
      <c r="G21" s="26">
        <f t="shared" si="23"/>
        <v>74</v>
      </c>
      <c r="H21" s="23">
        <f t="shared" si="11"/>
        <v>10279990.32</v>
      </c>
      <c r="I21" s="23">
        <f t="shared" si="4"/>
        <v>925199.1287</v>
      </c>
      <c r="J21" s="23">
        <f t="shared" si="5"/>
        <v>2400000</v>
      </c>
      <c r="K21" s="23">
        <f t="shared" si="6"/>
        <v>8805189.448</v>
      </c>
    </row>
    <row r="22" ht="15.75" customHeight="1">
      <c r="A22" s="22">
        <f t="shared" si="7"/>
        <v>2041</v>
      </c>
      <c r="B22" s="23">
        <f t="shared" si="1"/>
        <v>35000</v>
      </c>
      <c r="C22" s="24">
        <f t="shared" si="8"/>
        <v>17016928.97</v>
      </c>
      <c r="D22" s="24">
        <f t="shared" si="9"/>
        <v>2016831.476</v>
      </c>
      <c r="E22" s="24">
        <f t="shared" si="2"/>
        <v>19033760.44</v>
      </c>
      <c r="F22" s="25">
        <f t="shared" ref="F22:G22" si="24">F21+1</f>
        <v>58</v>
      </c>
      <c r="G22" s="26">
        <f t="shared" si="24"/>
        <v>75</v>
      </c>
      <c r="H22" s="23">
        <f t="shared" si="11"/>
        <v>8805189.448</v>
      </c>
      <c r="I22" s="23">
        <f t="shared" si="4"/>
        <v>792467.0503</v>
      </c>
      <c r="J22" s="23">
        <f t="shared" si="5"/>
        <v>2400000</v>
      </c>
      <c r="K22" s="23">
        <f t="shared" si="6"/>
        <v>7197656.498</v>
      </c>
    </row>
    <row r="23" ht="15.75" customHeight="1">
      <c r="A23" s="22">
        <f t="shared" si="7"/>
        <v>2042</v>
      </c>
      <c r="B23" s="23">
        <f t="shared" si="1"/>
        <v>35000</v>
      </c>
      <c r="C23" s="24">
        <f t="shared" si="8"/>
        <v>19453760.44</v>
      </c>
      <c r="D23" s="24">
        <f t="shared" si="9"/>
        <v>2309251.253</v>
      </c>
      <c r="E23" s="24">
        <f t="shared" si="2"/>
        <v>21763011.7</v>
      </c>
      <c r="F23" s="25">
        <f t="shared" ref="F23:G23" si="25">F22+1</f>
        <v>59</v>
      </c>
      <c r="G23" s="26">
        <f t="shared" si="25"/>
        <v>76</v>
      </c>
      <c r="H23" s="23">
        <f t="shared" si="11"/>
        <v>7197656.498</v>
      </c>
      <c r="I23" s="23">
        <f t="shared" si="4"/>
        <v>647789.0848</v>
      </c>
      <c r="J23" s="23">
        <f t="shared" si="5"/>
        <v>2400000</v>
      </c>
      <c r="K23" s="23">
        <f t="shared" si="6"/>
        <v>5445445.583</v>
      </c>
    </row>
    <row r="24" ht="15.75" customHeight="1">
      <c r="A24" s="22"/>
      <c r="B24" s="23"/>
      <c r="C24" s="24"/>
      <c r="D24" s="24"/>
      <c r="E24" s="24"/>
      <c r="F24" s="27"/>
      <c r="G24" s="26">
        <f t="shared" ref="G24:G35" si="26">G23+1</f>
        <v>77</v>
      </c>
      <c r="H24" s="23">
        <f t="shared" si="11"/>
        <v>5445445.583</v>
      </c>
      <c r="I24" s="23">
        <f t="shared" si="4"/>
        <v>490090.1025</v>
      </c>
      <c r="J24" s="23">
        <f t="shared" si="5"/>
        <v>2400000</v>
      </c>
      <c r="K24" s="23">
        <f t="shared" si="6"/>
        <v>3535535.685</v>
      </c>
    </row>
    <row r="25" ht="15.75" customHeight="1">
      <c r="A25" s="22"/>
      <c r="B25" s="23"/>
      <c r="C25" s="24"/>
      <c r="D25" s="24"/>
      <c r="E25" s="24"/>
      <c r="F25" s="27"/>
      <c r="G25" s="26">
        <f t="shared" si="26"/>
        <v>78</v>
      </c>
      <c r="H25" s="23">
        <f t="shared" si="11"/>
        <v>3535535.685</v>
      </c>
      <c r="I25" s="23">
        <f t="shared" si="4"/>
        <v>318198.2117</v>
      </c>
      <c r="J25" s="23">
        <f t="shared" si="5"/>
        <v>2400000</v>
      </c>
      <c r="K25" s="23">
        <f t="shared" si="6"/>
        <v>1453733.897</v>
      </c>
    </row>
    <row r="26" ht="15.75" customHeight="1">
      <c r="A26" s="22"/>
      <c r="B26" s="23"/>
      <c r="C26" s="24"/>
      <c r="D26" s="24"/>
      <c r="E26" s="24"/>
      <c r="F26" s="27"/>
      <c r="G26" s="26">
        <f t="shared" si="26"/>
        <v>79</v>
      </c>
      <c r="H26" s="23">
        <f t="shared" si="11"/>
        <v>1453733.897</v>
      </c>
      <c r="I26" s="23">
        <f t="shared" si="4"/>
        <v>130836.0507</v>
      </c>
      <c r="J26" s="23">
        <f t="shared" si="5"/>
        <v>2400000</v>
      </c>
      <c r="K26" s="23">
        <f t="shared" si="6"/>
        <v>-815430.0524</v>
      </c>
    </row>
    <row r="27" ht="15.75" customHeight="1">
      <c r="A27" s="22"/>
      <c r="B27" s="23"/>
      <c r="C27" s="24"/>
      <c r="D27" s="24"/>
      <c r="E27" s="24"/>
      <c r="F27" s="27"/>
      <c r="G27" s="26">
        <f t="shared" si="26"/>
        <v>80</v>
      </c>
      <c r="H27" s="23">
        <f t="shared" si="11"/>
        <v>-815430.0524</v>
      </c>
      <c r="I27" s="23">
        <f t="shared" si="4"/>
        <v>-73388.70471</v>
      </c>
      <c r="J27" s="23">
        <f t="shared" si="5"/>
        <v>2400000</v>
      </c>
      <c r="K27" s="23">
        <f t="shared" si="6"/>
        <v>-3288818.757</v>
      </c>
    </row>
    <row r="28" ht="15.75" customHeight="1">
      <c r="A28" s="22"/>
      <c r="B28" s="23"/>
      <c r="C28" s="24"/>
      <c r="D28" s="24"/>
      <c r="E28" s="24"/>
      <c r="F28" s="27"/>
      <c r="G28" s="26">
        <f t="shared" si="26"/>
        <v>81</v>
      </c>
      <c r="H28" s="23">
        <f t="shared" si="11"/>
        <v>-3288818.757</v>
      </c>
      <c r="I28" s="23">
        <f t="shared" si="4"/>
        <v>-295993.6881</v>
      </c>
      <c r="J28" s="23">
        <f t="shared" si="5"/>
        <v>2400000</v>
      </c>
      <c r="K28" s="23">
        <f t="shared" si="6"/>
        <v>-5984812.445</v>
      </c>
    </row>
    <row r="29" ht="15.75" customHeight="1">
      <c r="A29" s="22"/>
      <c r="B29" s="23"/>
      <c r="C29" s="24"/>
      <c r="D29" s="24"/>
      <c r="E29" s="24"/>
      <c r="F29" s="27"/>
      <c r="G29" s="26">
        <f t="shared" si="26"/>
        <v>82</v>
      </c>
      <c r="H29" s="23">
        <f t="shared" si="11"/>
        <v>-5984812.445</v>
      </c>
      <c r="I29" s="23">
        <f t="shared" si="4"/>
        <v>-538633.1201</v>
      </c>
      <c r="J29" s="23">
        <f t="shared" si="5"/>
        <v>2400000</v>
      </c>
      <c r="K29" s="23">
        <f t="shared" si="6"/>
        <v>-8923445.565</v>
      </c>
    </row>
    <row r="30" ht="15.75" customHeight="1">
      <c r="A30" s="22"/>
      <c r="B30" s="23"/>
      <c r="C30" s="24"/>
      <c r="D30" s="24"/>
      <c r="E30" s="24"/>
      <c r="F30" s="27"/>
      <c r="G30" s="26">
        <f t="shared" si="26"/>
        <v>83</v>
      </c>
      <c r="H30" s="23">
        <f t="shared" si="11"/>
        <v>-8923445.565</v>
      </c>
      <c r="I30" s="23">
        <f t="shared" si="4"/>
        <v>-803110.1009</v>
      </c>
      <c r="J30" s="23">
        <f t="shared" si="5"/>
        <v>2400000</v>
      </c>
      <c r="K30" s="23">
        <f t="shared" si="6"/>
        <v>-12126555.67</v>
      </c>
    </row>
    <row r="31" ht="15.75" customHeight="1">
      <c r="A31" s="22"/>
      <c r="B31" s="23"/>
      <c r="C31" s="24"/>
      <c r="D31" s="24"/>
      <c r="E31" s="24"/>
      <c r="F31" s="27"/>
      <c r="G31" s="26">
        <f t="shared" si="26"/>
        <v>84</v>
      </c>
      <c r="H31" s="23">
        <f t="shared" si="11"/>
        <v>-12126555.67</v>
      </c>
      <c r="I31" s="23">
        <f t="shared" si="4"/>
        <v>-1091390.01</v>
      </c>
      <c r="J31" s="23">
        <f t="shared" si="5"/>
        <v>2400000</v>
      </c>
      <c r="K31" s="23">
        <f t="shared" si="6"/>
        <v>-15617945.68</v>
      </c>
    </row>
    <row r="32" ht="15.75" customHeight="1">
      <c r="A32" s="22"/>
      <c r="B32" s="23"/>
      <c r="C32" s="24"/>
      <c r="D32" s="24"/>
      <c r="E32" s="24"/>
      <c r="F32" s="27"/>
      <c r="G32" s="26">
        <f t="shared" si="26"/>
        <v>85</v>
      </c>
      <c r="H32" s="23">
        <f t="shared" si="11"/>
        <v>-15617945.68</v>
      </c>
      <c r="I32" s="23">
        <f t="shared" si="4"/>
        <v>-1405615.111</v>
      </c>
      <c r="J32" s="23">
        <f t="shared" si="5"/>
        <v>2400000</v>
      </c>
      <c r="K32" s="23">
        <f t="shared" si="6"/>
        <v>-19423560.79</v>
      </c>
    </row>
    <row r="33" ht="15.75" customHeight="1">
      <c r="A33" s="22"/>
      <c r="B33" s="23"/>
      <c r="C33" s="24"/>
      <c r="D33" s="24"/>
      <c r="E33" s="24"/>
      <c r="F33" s="27"/>
      <c r="G33" s="26">
        <f t="shared" si="26"/>
        <v>86</v>
      </c>
      <c r="H33" s="23">
        <f t="shared" si="11"/>
        <v>-19423560.79</v>
      </c>
      <c r="I33" s="23">
        <f t="shared" si="4"/>
        <v>-1748120.471</v>
      </c>
      <c r="J33" s="23">
        <f t="shared" si="5"/>
        <v>2400000</v>
      </c>
      <c r="K33" s="23">
        <f t="shared" si="6"/>
        <v>-23571681.26</v>
      </c>
    </row>
    <row r="34" ht="15.75" customHeight="1">
      <c r="A34" s="22"/>
      <c r="B34" s="23"/>
      <c r="C34" s="24"/>
      <c r="D34" s="24"/>
      <c r="E34" s="24"/>
      <c r="F34" s="27"/>
      <c r="G34" s="26">
        <f t="shared" si="26"/>
        <v>87</v>
      </c>
      <c r="H34" s="23">
        <f t="shared" si="11"/>
        <v>-23571681.26</v>
      </c>
      <c r="I34" s="23">
        <f t="shared" si="4"/>
        <v>-2121451.313</v>
      </c>
      <c r="J34" s="23">
        <f t="shared" si="5"/>
        <v>2400000</v>
      </c>
      <c r="K34" s="23">
        <f t="shared" si="6"/>
        <v>-28093132.57</v>
      </c>
    </row>
    <row r="35" ht="15.75" customHeight="1">
      <c r="A35" s="22"/>
      <c r="B35" s="23"/>
      <c r="C35" s="24"/>
      <c r="D35" s="24"/>
      <c r="E35" s="24"/>
      <c r="F35" s="27"/>
      <c r="G35" s="26">
        <f t="shared" si="26"/>
        <v>88</v>
      </c>
      <c r="H35" s="23">
        <f t="shared" si="11"/>
        <v>-28093132.57</v>
      </c>
      <c r="I35" s="23">
        <f t="shared" si="4"/>
        <v>-2528381.931</v>
      </c>
      <c r="J35" s="23">
        <f t="shared" si="5"/>
        <v>2400000</v>
      </c>
      <c r="K35" s="23">
        <f t="shared" si="6"/>
        <v>-33021514.5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G2:M3"/>
    <mergeCell ref="G5:K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2026-05-02T11:14:06Z</dcterms:created>
  <dc:creator>dell</dc:creator>
</cp:coreProperties>
</file>