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nazzy WealthPlan" state="visible" r:id="rId4"/>
  </sheets>
  <calcPr calcId="171027"/>
</workbook>
</file>

<file path=xl/sharedStrings.xml><?xml version="1.0" encoding="utf-8"?>
<sst xmlns="http://schemas.openxmlformats.org/spreadsheetml/2006/main" count="281" uniqueCount="40">
  <si>
    <t>SNAZZY WEALTHPLAN  •  PLAN TODAY. BUILD TOMORROW. RETIRE WITH CONFIDENCE.</t>
  </si>
  <si>
    <t>Required SIP</t>
  </si>
  <si>
    <t>Initial Lumpsum</t>
  </si>
  <si>
    <t>Total Investment</t>
  </si>
  <si>
    <t>Annual Step-Up</t>
  </si>
  <si>
    <t>None (Standard)</t>
  </si>
  <si>
    <t>Current Mo. Exp</t>
  </si>
  <si>
    <t>Pre-Ret Inflation</t>
  </si>
  <si>
    <t>Ret. Sustainability</t>
  </si>
  <si>
    <t>50 Years</t>
  </si>
  <si>
    <t>SIP Period (Years)</t>
  </si>
  <si>
    <t>Expected Return</t>
  </si>
  <si>
    <t>Annual Exp @ Ret</t>
  </si>
  <si>
    <t>Retirement Age</t>
  </si>
  <si>
    <t>Monthly Exp @ Ret</t>
  </si>
  <si>
    <t>Required Corpus</t>
  </si>
  <si>
    <t>Current Age</t>
  </si>
  <si>
    <t>SWP Return</t>
  </si>
  <si>
    <t>Ret. Inflation</t>
  </si>
  <si>
    <t>Projected Corpus</t>
  </si>
  <si>
    <t>Planning Mode</t>
  </si>
  <si>
    <t>🎯 Goal-Based</t>
  </si>
  <si>
    <t>Sustainability: Corpus sustains for approximately 26 years (exhausted at age 88).</t>
  </si>
  <si>
    <t>ACCUMULATION STAGE</t>
  </si>
  <si>
    <t>RETIREMENT / SWP STAGE</t>
  </si>
  <si>
    <t>Year</t>
  </si>
  <si>
    <t>Amount @ Start of Year</t>
  </si>
  <si>
    <t>Future Expense</t>
  </si>
  <si>
    <t>Monthly SIP Amt</t>
  </si>
  <si>
    <t>Amt Invested Each Year</t>
  </si>
  <si>
    <t>Gain / Yr (12%)</t>
  </si>
  <si>
    <t>Amt @ Yr End</t>
  </si>
  <si>
    <t>Your Age</t>
  </si>
  <si>
    <t>Amount @ Year Beginning</t>
  </si>
  <si>
    <t>Gain @ 9% / Annum</t>
  </si>
  <si>
    <t>Inflation</t>
  </si>
  <si>
    <t>Annual Household Expenses</t>
  </si>
  <si>
    <t>Amount @ Year End</t>
  </si>
  <si>
    <t/>
  </si>
  <si>
    <t>Disclaimer: This calculator is an illustration based on the assumptions entered. Actual investment returns, inflation, and expenses may vary. This calculation does not guarantee future returns.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</si>
</sst>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₹-en-IN] #,##,##0"/>
  </numFmts>
  <fonts count="16" x14ac:knownFonts="1">
    <font>
      <color theme="1"/>
      <family val="2"/>
      <scheme val="minor"/>
      <sz val="11"/>
      <name val="Calibri"/>
    </font>
    <font>
      <b/>
      <color rgb="FFFFFFFF"/>
      <sz val="13"/>
      <name val="Times New Roman"/>
    </font>
    <font>
      <b/>
      <color rgb="FF334155"/>
      <sz val="10"/>
      <name val="Times New Roman"/>
    </font>
    <font>
      <b/>
      <color rgb="FF0F172A"/>
      <sz val="11"/>
      <name val="Times New Roman"/>
    </font>
    <font>
      <b/>
      <color rgb="FF1E3A8A"/>
      <sz val="11"/>
      <name val="Times New Roman"/>
    </font>
    <font>
      <i/>
      <color rgb="FF64748B"/>
      <sz val="10"/>
      <name val="Times New Roman"/>
    </font>
    <font>
      <b/>
      <color rgb="FF0F172A"/>
      <sz val="10"/>
      <name val="Times New Roman"/>
    </font>
    <font>
      <b/>
      <color rgb="FF0D9488"/>
      <sz val="11"/>
      <name val="Times New Roman"/>
    </font>
    <font>
      <b/>
      <color rgb="FF1E293B"/>
      <sz val="10"/>
      <name val="Times New Roman"/>
    </font>
    <font>
      <b/>
      <color rgb="FFB91C1C"/>
      <sz val="10"/>
      <name val="Times New Roman"/>
    </font>
    <font>
      <b/>
      <color rgb="FFFFFFFF"/>
      <sz val="12"/>
      <name val="Times New Roman"/>
    </font>
    <font>
      <b/>
      <color rgb="FF000000"/>
      <sz val="10"/>
      <name val="Times New Roman"/>
    </font>
    <font>
      <sz val="10"/>
      <name val="Times New Roman"/>
    </font>
    <font>
      <b/>
      <sz val="10"/>
      <name val="Times New Roman"/>
    </font>
    <font>
      <b/>
      <color rgb="FF991B1B"/>
      <sz val="10"/>
      <name val="Times New Roman"/>
    </font>
    <font>
      <i/>
      <color rgb="FF64748B"/>
      <sz val="9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061C41"/>
      </patternFill>
    </fill>
    <fill>
      <patternFill patternType="solid">
        <fgColor rgb="FFF8FAFC"/>
      </patternFill>
    </fill>
    <fill>
      <patternFill patternType="solid">
        <fgColor rgb="FFFFF2CC"/>
      </patternFill>
    </fill>
    <fill>
      <patternFill patternType="solid">
        <fgColor rgb="FFF1F5F9"/>
      </patternFill>
    </fill>
    <fill>
      <patternFill patternType="solid">
        <fgColor rgb="FFFEE2E2"/>
      </patternFill>
    </fill>
    <fill>
      <patternFill patternType="solid">
        <fgColor rgb="FF2E7D32"/>
      </patternFill>
    </fill>
    <fill>
      <patternFill patternType="solid">
        <fgColor rgb="FFD97706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7CAAC"/>
      </patternFill>
    </fill>
    <fill>
      <patternFill patternType="solid">
        <fgColor rgb="FFBDD6EE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9CA3AF"/>
      </left>
      <right style="medium">
        <color rgb="FF9CA3AF"/>
      </right>
      <top style="medium">
        <color rgb="FF9CA3AF"/>
      </top>
      <bottom style="medium">
        <color rgb="FF9CA3A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10" fontId="3" fillId="4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right" vertical="center"/>
    </xf>
    <xf numFmtId="164" fontId="13" fillId="0" borderId="1" xfId="0" applyNumberFormat="1" applyFont="1" applyBorder="1" applyAlignment="1">
      <alignment horizontal="right" vertical="center"/>
    </xf>
    <xf numFmtId="0" fontId="13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10" fontId="12" fillId="0" borderId="1" xfId="0" applyNumberFormat="1" applyFont="1" applyBorder="1" applyAlignment="1">
      <alignment horizontal="center" vertical="center"/>
    </xf>
    <xf numFmtId="0" fontId="0" fillId="0" borderId="1" xfId="0" applyBorder="1"/>
    <xf numFmtId="164" fontId="14" fillId="6" borderId="1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12</xdr:col>
      <xdr:colOff>51999</xdr:colOff>
      <xdr:row>0</xdr:row>
      <xdr:rowOff>48000</xdr:rowOff>
    </xdr:from>
    <xdr:ext cx="1047750" cy="323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pane ySplit="6" topLeftCell="A7" activePane="bottomLeft" state="frozen"/>
      <selection pane="bottomLeft"/>
    </sheetView>
  </sheetViews>
  <sheetFormatPr defaultRowHeight="20" outlineLevelRow="0" outlineLevelCol="0" x14ac:dyDescent="55" customHeight="1"/>
  <cols>
    <col min="1" max="1" width="12" customWidth="1"/>
    <col min="2" max="2" width="22" customWidth="1"/>
    <col min="3" max="4" width="18" customWidth="1"/>
    <col min="5" max="5" width="22" customWidth="1"/>
    <col min="6" max="6" width="20" customWidth="1"/>
    <col min="7" max="7" width="22" customWidth="1"/>
    <col min="8" max="9" width="13" customWidth="1"/>
    <col min="10" max="10" width="24" customWidth="1"/>
    <col min="11" max="11" width="22" customWidth="1"/>
    <col min="12" max="12" width="14" customWidth="1"/>
    <col min="13" max="13" width="26" customWidth="1"/>
    <col min="14" max="14" width="24" customWidth="1"/>
  </cols>
  <sheetData>
    <row r="1" ht="4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" customHeight="1" spans="1:14" x14ac:dyDescent="0.25">
      <c r="A2" s="2" t="s">
        <v>1</v>
      </c>
      <c r="B2" s="3">
        <v>35000</v>
      </c>
      <c r="C2" s="2" t="s">
        <v>2</v>
      </c>
      <c r="D2" s="3">
        <v>500000</v>
      </c>
      <c r="E2" s="2" t="s">
        <v>3</v>
      </c>
      <c r="F2" s="4">
        <f>SUM(E7:E26)+D2</f>
        <v>8900000</v>
      </c>
      <c r="G2" s="2" t="s">
        <v>4</v>
      </c>
      <c r="H2" s="5" t="s">
        <v>5</v>
      </c>
      <c r="I2" s="2" t="s">
        <v>6</v>
      </c>
      <c r="J2" s="3">
        <v>75378</v>
      </c>
      <c r="K2" s="2" t="s">
        <v>7</v>
      </c>
      <c r="L2" s="6">
        <v>0.05</v>
      </c>
      <c r="M2" s="2" t="s">
        <v>8</v>
      </c>
      <c r="N2" s="7" t="s">
        <v>9</v>
      </c>
    </row>
    <row r="3" ht="24" customHeight="1" spans="1:14" x14ac:dyDescent="0.25">
      <c r="A3" s="2" t="s">
        <v>10</v>
      </c>
      <c r="B3" s="8">
        <v>20</v>
      </c>
      <c r="C3" s="2" t="s">
        <v>11</v>
      </c>
      <c r="D3" s="6">
        <v>0.12</v>
      </c>
      <c r="E3" s="2" t="s">
        <v>12</v>
      </c>
      <c r="F3" s="3">
        <f>J3*12</f>
        <v>2400000</v>
      </c>
      <c r="G3" s="2" t="s">
        <v>13</v>
      </c>
      <c r="H3" s="9">
        <f>B4+B3</f>
        <v>63</v>
      </c>
      <c r="I3" s="2" t="s">
        <v>14</v>
      </c>
      <c r="J3" s="4">
        <f>ROUND(J2*(1+L2)^B3, 0)</f>
        <v>200000</v>
      </c>
      <c r="K3" s="2" t="s">
        <v>15</v>
      </c>
      <c r="L3" s="10">
        <v>36900893.92268748</v>
      </c>
      <c r="M3" s="2" t="s">
        <v>1</v>
      </c>
      <c r="N3" s="10">
        <v>35000</v>
      </c>
    </row>
    <row r="4" ht="24" customHeight="1" spans="1:14" x14ac:dyDescent="0.25">
      <c r="A4" s="2" t="s">
        <v>16</v>
      </c>
      <c r="B4" s="8">
        <v>43</v>
      </c>
      <c r="C4" s="2" t="s">
        <v>17</v>
      </c>
      <c r="D4" s="6">
        <v>0.09</v>
      </c>
      <c r="E4" s="2" t="s">
        <v>18</v>
      </c>
      <c r="F4" s="6">
        <v>0.05</v>
      </c>
      <c r="G4" s="2" t="s">
        <v>19</v>
      </c>
      <c r="H4" s="4">
        <f>G26</f>
        <v>36900893.92268748</v>
      </c>
      <c r="I4" s="2" t="s">
        <v>20</v>
      </c>
      <c r="J4" s="11" t="s">
        <v>21</v>
      </c>
      <c r="K4" s="12" t="s">
        <v>22</v>
      </c>
      <c r="L4" s="12"/>
      <c r="M4" s="12"/>
      <c r="N4" s="12"/>
    </row>
    <row r="5" ht="28" customHeight="1" spans="1:14" x14ac:dyDescent="0.25">
      <c r="A5" s="13" t="s">
        <v>23</v>
      </c>
      <c r="B5" s="13"/>
      <c r="C5" s="13"/>
      <c r="D5" s="13"/>
      <c r="E5" s="13"/>
      <c r="F5" s="13"/>
      <c r="G5" s="13"/>
      <c r="H5" s="13"/>
      <c r="I5" s="14" t="s">
        <v>24</v>
      </c>
      <c r="J5" s="14"/>
      <c r="K5" s="14"/>
      <c r="L5" s="14"/>
      <c r="M5" s="14"/>
      <c r="N5" s="14"/>
    </row>
    <row r="6" ht="30" customHeight="1" spans="1:14" x14ac:dyDescent="0.25">
      <c r="A6" s="15" t="s">
        <v>25</v>
      </c>
      <c r="B6" s="15" t="s">
        <v>26</v>
      </c>
      <c r="C6" s="15" t="s">
        <v>27</v>
      </c>
      <c r="D6" s="15" t="s">
        <v>28</v>
      </c>
      <c r="E6" s="15" t="s">
        <v>29</v>
      </c>
      <c r="F6" s="15" t="s">
        <v>30</v>
      </c>
      <c r="G6" s="15" t="s">
        <v>31</v>
      </c>
      <c r="H6" s="15" t="s">
        <v>32</v>
      </c>
      <c r="I6" s="16" t="s">
        <v>32</v>
      </c>
      <c r="J6" s="16" t="s">
        <v>33</v>
      </c>
      <c r="K6" s="16" t="s">
        <v>34</v>
      </c>
      <c r="L6" s="16" t="s">
        <v>35</v>
      </c>
      <c r="M6" s="16" t="s">
        <v>36</v>
      </c>
      <c r="N6" s="16" t="s">
        <v>37</v>
      </c>
    </row>
    <row r="7" ht="20" customHeight="1" spans="1:14" x14ac:dyDescent="0.25">
      <c r="A7" s="17">
        <v>2026</v>
      </c>
      <c r="B7" s="18">
        <f>$D$2</f>
        <v>500000</v>
      </c>
      <c r="C7" s="18">
        <v>0</v>
      </c>
      <c r="D7" s="18">
        <f>$B$2</f>
        <v>35000</v>
      </c>
      <c r="E7" s="18">
        <f>D7*12</f>
        <v>420000</v>
      </c>
      <c r="F7" s="18">
        <f>((B7-C7)*$D$3)+(E7*($D$3/2))</f>
        <v>85200</v>
      </c>
      <c r="G7" s="19">
        <f>(B7-C7)+E7+F7</f>
        <v>1005200</v>
      </c>
      <c r="H7" s="20">
        <f>$B$4</f>
        <v>43</v>
      </c>
      <c r="I7" s="21">
        <f>H26+1</f>
        <v>63</v>
      </c>
      <c r="J7" s="18">
        <f>G26</f>
        <v>36900893.92268748</v>
      </c>
      <c r="K7" s="18">
        <f>IF(J7&lt;=0, 0, MAX(0, FV($D$4/12, 12, M7/12, -J7, 1) - J7 + M7))</f>
        <v>3341279.729412933</v>
      </c>
      <c r="L7" s="22">
        <f>$F$4</f>
        <v>0.05</v>
      </c>
      <c r="M7" s="18">
        <f>$F$3</f>
        <v>2400000</v>
      </c>
      <c r="N7" s="19">
        <f>IF(J7&lt;=0, 0, MAX(0, J7+K7-M7))</f>
        <v>37842173.6521004</v>
      </c>
    </row>
    <row r="8" ht="20" customHeight="1" spans="1:14" x14ac:dyDescent="0.25">
      <c r="A8" s="17">
        <f>A7+1</f>
        <v>2027</v>
      </c>
      <c r="B8" s="18">
        <f>G7</f>
        <v>1005200</v>
      </c>
      <c r="C8" s="18">
        <v>0</v>
      </c>
      <c r="D8" s="18">
        <f>$B$2</f>
        <v>35000</v>
      </c>
      <c r="E8" s="18">
        <f>D8*12</f>
        <v>420000</v>
      </c>
      <c r="F8" s="18">
        <f>((B8-C8)*$D$3)+(E8*($D$3/2))</f>
        <v>145824</v>
      </c>
      <c r="G8" s="19">
        <f>(B8-C8)+E8+F8</f>
        <v>1571024</v>
      </c>
      <c r="H8" s="20">
        <f>H7+1</f>
        <v>44</v>
      </c>
      <c r="I8" s="21">
        <f>I7+1</f>
        <v>64</v>
      </c>
      <c r="J8" s="18">
        <f>N7</f>
        <v>37842173.6521004</v>
      </c>
      <c r="K8" s="18">
        <f>IF(J8&lt;=0, 0, MAX(0, FV($D$4/12, 12, M8/12, -J8, 1) - J8 + M8))</f>
        <v>3423564.3281317214</v>
      </c>
      <c r="L8" s="22">
        <f>$F$4</f>
        <v>0.05</v>
      </c>
      <c r="M8" s="18">
        <f>IF(J8&lt;=0, 0, M7*(1+L8))</f>
        <v>2520000</v>
      </c>
      <c r="N8" s="19">
        <f>IF(J8&lt;=0, 0, MAX(0, J8+K8-M8))</f>
        <v>38745737.98023213</v>
      </c>
    </row>
    <row r="9" ht="20" customHeight="1" spans="1:14" x14ac:dyDescent="0.25">
      <c r="A9" s="17">
        <f>A8+1</f>
        <v>2028</v>
      </c>
      <c r="B9" s="18">
        <f>G8</f>
        <v>1571024</v>
      </c>
      <c r="C9" s="18">
        <v>0</v>
      </c>
      <c r="D9" s="18">
        <f>$B$2</f>
        <v>35000</v>
      </c>
      <c r="E9" s="18">
        <f>D9*12</f>
        <v>420000</v>
      </c>
      <c r="F9" s="18">
        <f>((B9-C9)*$D$3)+(E9*($D$3/2))</f>
        <v>213722.88</v>
      </c>
      <c r="G9" s="19">
        <f>(B9-C9)+E9+F9</f>
        <v>2204746.88</v>
      </c>
      <c r="H9" s="20">
        <f>H8+1</f>
        <v>45</v>
      </c>
      <c r="I9" s="21">
        <f>I8+1</f>
        <v>65</v>
      </c>
      <c r="J9" s="18">
        <f>N8</f>
        <v>38745737.98023213</v>
      </c>
      <c r="K9" s="18">
        <f>IF(J9&lt;=0, 0, MAX(0, FV($D$4/12, 12, M9/12, -J9, 1) - J9 + M9))</f>
        <v>3502010.2654350027</v>
      </c>
      <c r="L9" s="22">
        <f>$F$4</f>
        <v>0.05</v>
      </c>
      <c r="M9" s="18">
        <f>IF(J9&lt;=0, 0, M8*(1+L9))</f>
        <v>2646000</v>
      </c>
      <c r="N9" s="19">
        <f>IF(J9&lt;=0, 0, MAX(0, J9+K9-M9))</f>
        <v>39601748.24566713</v>
      </c>
    </row>
    <row r="10" ht="20" customHeight="1" spans="1:14" x14ac:dyDescent="0.25">
      <c r="A10" s="17">
        <f>A9+1</f>
        <v>2029</v>
      </c>
      <c r="B10" s="18">
        <f>G9</f>
        <v>2204746.88</v>
      </c>
      <c r="C10" s="18">
        <v>0</v>
      </c>
      <c r="D10" s="18">
        <f>$B$2</f>
        <v>35000</v>
      </c>
      <c r="E10" s="18">
        <f>D10*12</f>
        <v>420000</v>
      </c>
      <c r="F10" s="18">
        <f>((B10-C10)*$D$3)+(E10*($D$3/2))</f>
        <v>289769.62559999997</v>
      </c>
      <c r="G10" s="19">
        <f>(B10-C10)+E10+F10</f>
        <v>2914516.5056</v>
      </c>
      <c r="H10" s="20">
        <f>H9+1</f>
        <v>46</v>
      </c>
      <c r="I10" s="21">
        <f>I9+1</f>
        <v>66</v>
      </c>
      <c r="J10" s="18">
        <f>N9</f>
        <v>39601748.24566713</v>
      </c>
      <c r="K10" s="18">
        <f>IF(J10&lt;=0, 0, MAX(0, FV($D$4/12, 12, M10/12, -J10, 1) - J10 + M10))</f>
        <v>3575679.5721868086</v>
      </c>
      <c r="L10" s="22">
        <f>$F$4</f>
        <v>0.05</v>
      </c>
      <c r="M10" s="18">
        <f>IF(J10&lt;=0, 0, M9*(1+L10))</f>
        <v>2778300</v>
      </c>
      <c r="N10" s="19">
        <f>IF(J10&lt;=0, 0, MAX(0, J10+K10-M10))</f>
        <v>40399127.81785394</v>
      </c>
    </row>
    <row r="11" ht="20" customHeight="1" spans="1:14" x14ac:dyDescent="0.25">
      <c r="A11" s="17">
        <f>A10+1</f>
        <v>2030</v>
      </c>
      <c r="B11" s="18">
        <f>G10</f>
        <v>2914516.5056</v>
      </c>
      <c r="C11" s="18">
        <v>0</v>
      </c>
      <c r="D11" s="18">
        <f>$B$2</f>
        <v>35000</v>
      </c>
      <c r="E11" s="18">
        <f>D11*12</f>
        <v>420000</v>
      </c>
      <c r="F11" s="18">
        <f>((B11-C11)*$D$3)+(E11*($D$3/2))</f>
        <v>374941.980672</v>
      </c>
      <c r="G11" s="19">
        <f>(B11-C11)+E11+F11</f>
        <v>3709458.486272</v>
      </c>
      <c r="H11" s="20">
        <f>H10+1</f>
        <v>47</v>
      </c>
      <c r="I11" s="21">
        <f>I10+1</f>
        <v>67</v>
      </c>
      <c r="J11" s="18">
        <f>N10</f>
        <v>40399127.81785394</v>
      </c>
      <c r="K11" s="18">
        <f>IF(J11&lt;=0, 0, MAX(0, FV($D$4/12, 12, M11/12, -J11, 1) - J11 + M11))</f>
        <v>3643517.3974655424</v>
      </c>
      <c r="L11" s="22">
        <f>$F$4</f>
        <v>0.05</v>
      </c>
      <c r="M11" s="18">
        <f>IF(J11&lt;=0, 0, M10*(1+L11))</f>
        <v>2917215</v>
      </c>
      <c r="N11" s="19">
        <f>IF(J11&lt;=0, 0, MAX(0, J11+K11-M11))</f>
        <v>41125430.215319484</v>
      </c>
    </row>
    <row r="12" ht="20" customHeight="1" spans="1:14" x14ac:dyDescent="0.25">
      <c r="A12" s="17">
        <f>A11+1</f>
        <v>2031</v>
      </c>
      <c r="B12" s="18">
        <f>G11</f>
        <v>3709458.486272</v>
      </c>
      <c r="C12" s="18">
        <v>0</v>
      </c>
      <c r="D12" s="18">
        <f>$B$2</f>
        <v>35000</v>
      </c>
      <c r="E12" s="18">
        <f>D12*12</f>
        <v>420000</v>
      </c>
      <c r="F12" s="18">
        <f>((B12-C12)*$D$3)+(E12*($D$3/2))</f>
        <v>470335.01835264</v>
      </c>
      <c r="G12" s="19">
        <f>(B12-C12)+E12+F12</f>
        <v>4599793.50462464</v>
      </c>
      <c r="H12" s="20">
        <f>H11+1</f>
        <v>48</v>
      </c>
      <c r="I12" s="21">
        <f>I11+1</f>
        <v>68</v>
      </c>
      <c r="J12" s="18">
        <f>N11</f>
        <v>41125430.215319484</v>
      </c>
      <c r="K12" s="18">
        <f>IF(J12&lt;=0, 0, MAX(0, FV($D$4/12, 12, M12/12, -J12, 1) - J12 + M12))</f>
        <v>3704339.59955574</v>
      </c>
      <c r="L12" s="22">
        <f>$F$4</f>
        <v>0.05</v>
      </c>
      <c r="M12" s="18">
        <f>IF(J12&lt;=0, 0, M11*(1+L12))</f>
        <v>3063075.75</v>
      </c>
      <c r="N12" s="19">
        <f>IF(J12&lt;=0, 0, MAX(0, J12+K12-M12))</f>
        <v>41766694.06487523</v>
      </c>
    </row>
    <row r="13" ht="20" customHeight="1" spans="1:14" x14ac:dyDescent="0.25">
      <c r="A13" s="17">
        <f>A12+1</f>
        <v>2032</v>
      </c>
      <c r="B13" s="18">
        <f>G12</f>
        <v>4599793.50462464</v>
      </c>
      <c r="C13" s="18">
        <v>0</v>
      </c>
      <c r="D13" s="18">
        <f>$B$2</f>
        <v>35000</v>
      </c>
      <c r="E13" s="18">
        <f>D13*12</f>
        <v>420000</v>
      </c>
      <c r="F13" s="18">
        <f>((B13-C13)*$D$3)+(E13*($D$3/2))</f>
        <v>577175.2205549567</v>
      </c>
      <c r="G13" s="19">
        <f>(B13-C13)+E13+F13</f>
        <v>5596968.725179596</v>
      </c>
      <c r="H13" s="20">
        <f>H12+1</f>
        <v>49</v>
      </c>
      <c r="I13" s="21">
        <f>I12+1</f>
        <v>69</v>
      </c>
      <c r="J13" s="18">
        <f>N12</f>
        <v>41766694.06487523</v>
      </c>
      <c r="K13" s="18">
        <f>IF(J13&lt;=0, 0, MAX(0, FV($D$4/12, 12, M13/12, -J13, 1) - J13 + M13))</f>
        <v>3756819.100654723</v>
      </c>
      <c r="L13" s="22">
        <f>$F$4</f>
        <v>0.05</v>
      </c>
      <c r="M13" s="18">
        <f>IF(J13&lt;=0, 0, M12*(1+L13))</f>
        <v>3216229.5375</v>
      </c>
      <c r="N13" s="19">
        <f>IF(J13&lt;=0, 0, MAX(0, J13+K13-M13))</f>
        <v>42307283.628029995</v>
      </c>
    </row>
    <row r="14" ht="20" customHeight="1" spans="1:14" x14ac:dyDescent="0.25">
      <c r="A14" s="17">
        <f>A13+1</f>
        <v>2033</v>
      </c>
      <c r="B14" s="18">
        <f>G13</f>
        <v>5596968.725179596</v>
      </c>
      <c r="C14" s="18">
        <v>0</v>
      </c>
      <c r="D14" s="18">
        <f>$B$2</f>
        <v>35000</v>
      </c>
      <c r="E14" s="18">
        <f>D14*12</f>
        <v>420000</v>
      </c>
      <c r="F14" s="18">
        <f>((B14-C14)*$D$3)+(E14*($D$3/2))</f>
        <v>696836.2470215515</v>
      </c>
      <c r="G14" s="19">
        <f>(B14-C14)+E14+F14</f>
        <v>6713804.972201147</v>
      </c>
      <c r="H14" s="20">
        <f>H13+1</f>
        <v>50</v>
      </c>
      <c r="I14" s="21">
        <f>I13+1</f>
        <v>70</v>
      </c>
      <c r="J14" s="18">
        <f>N13</f>
        <v>42307283.628029995</v>
      </c>
      <c r="K14" s="18">
        <f>IF(J14&lt;=0, 0, MAX(0, FV($D$4/12, 12, M14/12, -J14, 1) - J14 + M14))</f>
        <v>3799470.885710369</v>
      </c>
      <c r="L14" s="22">
        <f>$F$4</f>
        <v>0.05</v>
      </c>
      <c r="M14" s="18">
        <f>IF(J14&lt;=0, 0, M13*(1+L14))</f>
        <v>3377041.0143750003</v>
      </c>
      <c r="N14" s="19">
        <f>IF(J14&lt;=0, 0, MAX(0, J14+K14-M14))</f>
        <v>42729713.499365374</v>
      </c>
    </row>
    <row r="15" ht="20" customHeight="1" spans="1:14" x14ac:dyDescent="0.25">
      <c r="A15" s="17">
        <f>A14+1</f>
        <v>2034</v>
      </c>
      <c r="B15" s="18">
        <f>G14</f>
        <v>6713804.972201147</v>
      </c>
      <c r="C15" s="18">
        <v>0</v>
      </c>
      <c r="D15" s="18">
        <f>$B$2</f>
        <v>35000</v>
      </c>
      <c r="E15" s="18">
        <f>D15*12</f>
        <v>420000</v>
      </c>
      <c r="F15" s="18">
        <f>((B15-C15)*$D$3)+(E15*($D$3/2))</f>
        <v>830856.5966641377</v>
      </c>
      <c r="G15" s="19">
        <f>(B15-C15)+E15+F15</f>
        <v>7964661.568865284</v>
      </c>
      <c r="H15" s="20">
        <f>H14+1</f>
        <v>51</v>
      </c>
      <c r="I15" s="21">
        <f>I14+1</f>
        <v>71</v>
      </c>
      <c r="J15" s="18">
        <f>N14</f>
        <v>42729713.499365374</v>
      </c>
      <c r="K15" s="18">
        <f>IF(J15&lt;=0, 0, MAX(0, FV($D$4/12, 12, M15/12, -J15, 1) - J15 + M15))</f>
        <v>3830635.5144078173</v>
      </c>
      <c r="L15" s="22">
        <f>$F$4</f>
        <v>0.05</v>
      </c>
      <c r="M15" s="18">
        <f>IF(J15&lt;=0, 0, M14*(1+L15))</f>
        <v>3545893.0650937506</v>
      </c>
      <c r="N15" s="19">
        <f>IF(J15&lt;=0, 0, MAX(0, J15+K15-M15))</f>
        <v>43014455.94867943</v>
      </c>
    </row>
    <row r="16" ht="20" customHeight="1" spans="1:14" x14ac:dyDescent="0.25">
      <c r="A16" s="17">
        <f>A15+1</f>
        <v>2035</v>
      </c>
      <c r="B16" s="18">
        <f>G15</f>
        <v>7964661.568865284</v>
      </c>
      <c r="C16" s="18">
        <v>0</v>
      </c>
      <c r="D16" s="18">
        <f>$B$2</f>
        <v>35000</v>
      </c>
      <c r="E16" s="18">
        <f>D16*12</f>
        <v>420000</v>
      </c>
      <c r="F16" s="18">
        <f>((B16-C16)*$D$3)+(E16*($D$3/2))</f>
        <v>980959.3882638341</v>
      </c>
      <c r="G16" s="19">
        <f>(B16-C16)+E16+F16</f>
        <v>9365620.957129119</v>
      </c>
      <c r="H16" s="20">
        <f>H15+1</f>
        <v>52</v>
      </c>
      <c r="I16" s="21">
        <f>I15+1</f>
        <v>72</v>
      </c>
      <c r="J16" s="18">
        <f>N15</f>
        <v>43014455.94867943</v>
      </c>
      <c r="K16" s="18">
        <f>IF(J16&lt;=0, 0, MAX(0, FV($D$4/12, 12, M16/12, -J16, 1) - J16 + M16))</f>
        <v>3848461.0028463276</v>
      </c>
      <c r="L16" s="22">
        <f>$F$4</f>
        <v>0.05</v>
      </c>
      <c r="M16" s="18">
        <f>IF(J16&lt;=0, 0, M15*(1+L16))</f>
        <v>3723187.7183484384</v>
      </c>
      <c r="N16" s="19">
        <f>IF(J16&lt;=0, 0, MAX(0, J16+K16-M16))</f>
        <v>43139729.23317731</v>
      </c>
    </row>
    <row r="17" ht="20" customHeight="1" spans="1:14" x14ac:dyDescent="0.25">
      <c r="A17" s="17">
        <f>A16+1</f>
        <v>2036</v>
      </c>
      <c r="B17" s="18">
        <f>G16</f>
        <v>9365620.957129119</v>
      </c>
      <c r="C17" s="18">
        <v>0</v>
      </c>
      <c r="D17" s="18">
        <f>$B$2</f>
        <v>35000</v>
      </c>
      <c r="E17" s="18">
        <f>D17*12</f>
        <v>420000</v>
      </c>
      <c r="F17" s="18">
        <f>((B17-C17)*$D$3)+(E17*($D$3/2))</f>
        <v>1149074.5148554943</v>
      </c>
      <c r="G17" s="19">
        <f>(B17-C17)+E17+F17</f>
        <v>10934695.471984614</v>
      </c>
      <c r="H17" s="20">
        <f>H16+1</f>
        <v>53</v>
      </c>
      <c r="I17" s="21">
        <f>I16+1</f>
        <v>73</v>
      </c>
      <c r="J17" s="18">
        <f>N16</f>
        <v>43139729.23317731</v>
      </c>
      <c r="K17" s="18">
        <f>IF(J17&lt;=0, 0, MAX(0, FV($D$4/12, 12, M17/12, -J17, 1) - J17 + M17))</f>
        <v>3850882.917790907</v>
      </c>
      <c r="L17" s="22">
        <f>$F$4</f>
        <v>0.05</v>
      </c>
      <c r="M17" s="18">
        <f>IF(J17&lt;=0, 0, M16*(1+L17))</f>
        <v>3909347.1042658603</v>
      </c>
      <c r="N17" s="19">
        <f>IF(J17&lt;=0, 0, MAX(0, J17+K17-M17))</f>
        <v>43081265.04670238</v>
      </c>
    </row>
    <row r="18" ht="20" customHeight="1" spans="1:14" x14ac:dyDescent="0.25">
      <c r="A18" s="17">
        <f>A17+1</f>
        <v>2037</v>
      </c>
      <c r="B18" s="18">
        <f>G17</f>
        <v>10934695.471984614</v>
      </c>
      <c r="C18" s="18">
        <v>0</v>
      </c>
      <c r="D18" s="18">
        <f>$B$2</f>
        <v>35000</v>
      </c>
      <c r="E18" s="18">
        <f>D18*12</f>
        <v>420000</v>
      </c>
      <c r="F18" s="18">
        <f>((B18-C18)*$D$3)+(E18*($D$3/2))</f>
        <v>1337363.4566381536</v>
      </c>
      <c r="G18" s="19">
        <f>(B18-C18)+E18+F18</f>
        <v>12692058.928622767</v>
      </c>
      <c r="H18" s="20">
        <f>H17+1</f>
        <v>54</v>
      </c>
      <c r="I18" s="21">
        <f>I17+1</f>
        <v>74</v>
      </c>
      <c r="J18" s="18">
        <f>N17</f>
        <v>43081265.04670238</v>
      </c>
      <c r="K18" s="18">
        <f>IF(J18&lt;=0, 0, MAX(0, FV($D$4/12, 12, M18/12, -J18, 1) - J18 + M18))</f>
        <v>3835602.511435851</v>
      </c>
      <c r="L18" s="22">
        <f>$F$4</f>
        <v>0.05</v>
      </c>
      <c r="M18" s="18">
        <f>IF(J18&lt;=0, 0, M17*(1+L18))</f>
        <v>4104814.4594791536</v>
      </c>
      <c r="N18" s="19">
        <f>IF(J18&lt;=0, 0, MAX(0, J18+K18-M18))</f>
        <v>42812053.09865908</v>
      </c>
    </row>
    <row r="19" ht="20" customHeight="1" spans="1:14" x14ac:dyDescent="0.25">
      <c r="A19" s="17">
        <f>A18+1</f>
        <v>2038</v>
      </c>
      <c r="B19" s="18">
        <f>G18</f>
        <v>12692058.928622767</v>
      </c>
      <c r="C19" s="18">
        <v>0</v>
      </c>
      <c r="D19" s="18">
        <f>$B$2</f>
        <v>35000</v>
      </c>
      <c r="E19" s="18">
        <f>D19*12</f>
        <v>420000</v>
      </c>
      <c r="F19" s="18">
        <f>((B19-C19)*$D$3)+(E19*($D$3/2))</f>
        <v>1548247.071434732</v>
      </c>
      <c r="G19" s="19">
        <f>(B19-C19)+E19+F19</f>
        <v>14660306.0000575</v>
      </c>
      <c r="H19" s="20">
        <f>H18+1</f>
        <v>55</v>
      </c>
      <c r="I19" s="21">
        <f>I18+1</f>
        <v>75</v>
      </c>
      <c r="J19" s="18">
        <f>N18</f>
        <v>42812053.09865908</v>
      </c>
      <c r="K19" s="18">
        <f>IF(J19&lt;=0, 0, MAX(0, FV($D$4/12, 12, M19/12, -J19, 1) - J19 + M19))</f>
        <v>3800062.7082571127</v>
      </c>
      <c r="L19" s="22">
        <f>$F$4</f>
        <v>0.05</v>
      </c>
      <c r="M19" s="18">
        <f>IF(J19&lt;=0, 0, M18*(1+L19))</f>
        <v>4310055.182453112</v>
      </c>
      <c r="N19" s="19">
        <f>IF(J19&lt;=0, 0, MAX(0, J19+K19-M19))</f>
        <v>42302060.624463044</v>
      </c>
    </row>
    <row r="20" ht="20" customHeight="1" spans="1:14" x14ac:dyDescent="0.25">
      <c r="A20" s="17">
        <f>A19+1</f>
        <v>2039</v>
      </c>
      <c r="B20" s="18">
        <f>G19</f>
        <v>14660306.0000575</v>
      </c>
      <c r="C20" s="18">
        <v>0</v>
      </c>
      <c r="D20" s="18">
        <f>$B$2</f>
        <v>35000</v>
      </c>
      <c r="E20" s="18">
        <f>D20*12</f>
        <v>420000</v>
      </c>
      <c r="F20" s="18">
        <f>((B20-C20)*$D$3)+(E20*($D$3/2))</f>
        <v>1784436.7200069</v>
      </c>
      <c r="G20" s="19">
        <f>(B20-C20)+E20+F20</f>
        <v>16864742.7200644</v>
      </c>
      <c r="H20" s="20">
        <f>H19+1</f>
        <v>56</v>
      </c>
      <c r="I20" s="21">
        <f>I19+1</f>
        <v>76</v>
      </c>
      <c r="J20" s="18">
        <f>N19</f>
        <v>42302060.624463044</v>
      </c>
      <c r="K20" s="18">
        <f>IF(J20&lt;=0, 0, MAX(0, FV($D$4/12, 12, M20/12, -J20, 1) - J20 + M20))</f>
        <v>3741421.737624559</v>
      </c>
      <c r="L20" s="22">
        <f>$F$4</f>
        <v>0.05</v>
      </c>
      <c r="M20" s="18">
        <f>IF(J20&lt;=0, 0, M19*(1+L20))</f>
        <v>4525557.9415757675</v>
      </c>
      <c r="N20" s="19">
        <f>IF(J20&lt;=0, 0, MAX(0, J20+K20-M20))</f>
        <v>41517924.42051181</v>
      </c>
    </row>
    <row r="21" ht="20" customHeight="1" spans="1:14" x14ac:dyDescent="0.25">
      <c r="A21" s="17">
        <f>A20+1</f>
        <v>2040</v>
      </c>
      <c r="B21" s="18">
        <f>G20</f>
        <v>16864742.7200644</v>
      </c>
      <c r="C21" s="18">
        <v>0</v>
      </c>
      <c r="D21" s="18">
        <f>$B$2</f>
        <v>35000</v>
      </c>
      <c r="E21" s="18">
        <f>D21*12</f>
        <v>420000</v>
      </c>
      <c r="F21" s="18">
        <f>((B21-C21)*$D$3)+(E21*($D$3/2))</f>
        <v>2048969.126407728</v>
      </c>
      <c r="G21" s="19">
        <f>(B21-C21)+E21+F21</f>
        <v>19333711.84647213</v>
      </c>
      <c r="H21" s="20">
        <f>H20+1</f>
        <v>57</v>
      </c>
      <c r="I21" s="21">
        <f>I20+1</f>
        <v>77</v>
      </c>
      <c r="J21" s="18">
        <f>N20</f>
        <v>41517924.42051181</v>
      </c>
      <c r="K21" s="18">
        <f>IF(J21&lt;=0, 0, MAX(0, FV($D$4/12, 12, M21/12, -J21, 1) - J21 + M21))</f>
        <v>3656524.1862480873</v>
      </c>
      <c r="L21" s="22">
        <f>$F$4</f>
        <v>0.05</v>
      </c>
      <c r="M21" s="18">
        <f>IF(J21&lt;=0, 0, M20*(1+L21))</f>
        <v>4751835.838654556</v>
      </c>
      <c r="N21" s="19">
        <f>IF(J21&lt;=0, 0, MAX(0, J21+K21-M21))</f>
        <v>40422612.76810539</v>
      </c>
    </row>
    <row r="22" ht="20" customHeight="1" spans="1:14" x14ac:dyDescent="0.25">
      <c r="A22" s="17">
        <f>A21+1</f>
        <v>2041</v>
      </c>
      <c r="B22" s="18">
        <f>G21</f>
        <v>19333711.84647213</v>
      </c>
      <c r="C22" s="18">
        <v>0</v>
      </c>
      <c r="D22" s="18">
        <f>$B$2</f>
        <v>35000</v>
      </c>
      <c r="E22" s="18">
        <f>D22*12</f>
        <v>420000</v>
      </c>
      <c r="F22" s="18">
        <f>((B22-C22)*$D$3)+(E22*($D$3/2))</f>
        <v>2345245.4215766555</v>
      </c>
      <c r="G22" s="19">
        <f>(B22-C22)+E22+F22</f>
        <v>22098957.268048786</v>
      </c>
      <c r="H22" s="20">
        <f>H21+1</f>
        <v>58</v>
      </c>
      <c r="I22" s="21">
        <f>I21+1</f>
        <v>78</v>
      </c>
      <c r="J22" s="18">
        <f>N21</f>
        <v>40422612.76810539</v>
      </c>
      <c r="K22" s="18">
        <f>IF(J22&lt;=0, 0, MAX(0, FV($D$4/12, 12, M22/12, -J22, 1) - J22 + M22))</f>
        <v>3541869.223084038</v>
      </c>
      <c r="L22" s="22">
        <f>$F$4</f>
        <v>0.05</v>
      </c>
      <c r="M22" s="18">
        <f>IF(J22&lt;=0, 0, M21*(1+L22))</f>
        <v>4989427.630587284</v>
      </c>
      <c r="N22" s="19">
        <f>IF(J22&lt;=0, 0, MAX(0, J22+K22-M22))</f>
        <v>38975054.360602155</v>
      </c>
    </row>
    <row r="23" ht="20" customHeight="1" spans="1:14" x14ac:dyDescent="0.25">
      <c r="A23" s="17">
        <f>A22+1</f>
        <v>2042</v>
      </c>
      <c r="B23" s="18">
        <f>G22</f>
        <v>22098957.268048786</v>
      </c>
      <c r="C23" s="18">
        <v>0</v>
      </c>
      <c r="D23" s="18">
        <f>$B$2</f>
        <v>35000</v>
      </c>
      <c r="E23" s="18">
        <f>D23*12</f>
        <v>420000</v>
      </c>
      <c r="F23" s="18">
        <f>((B23-C23)*$D$3)+(E23*($D$3/2))</f>
        <v>2677074.872165854</v>
      </c>
      <c r="G23" s="19">
        <f>(B23-C23)+E23+F23</f>
        <v>25196032.14021464</v>
      </c>
      <c r="H23" s="20">
        <f>H22+1</f>
        <v>59</v>
      </c>
      <c r="I23" s="21">
        <f>I22+1</f>
        <v>79</v>
      </c>
      <c r="J23" s="18">
        <f>N22</f>
        <v>38975054.360602155</v>
      </c>
      <c r="K23" s="18">
        <f>IF(J23&lt;=0, 0, MAX(0, FV($D$4/12, 12, M23/12, -J23, 1) - J23 + M23))</f>
        <v>3393575.7258562394</v>
      </c>
      <c r="L23" s="22">
        <f>$F$4</f>
        <v>0.05</v>
      </c>
      <c r="M23" s="18">
        <f>IF(J23&lt;=0, 0, M22*(1+L23))</f>
        <v>5238899.012116649</v>
      </c>
      <c r="N23" s="19">
        <f>IF(J23&lt;=0, 0, MAX(0, J23+K23-M23))</f>
        <v>37129731.07434173</v>
      </c>
    </row>
    <row r="24" ht="20" customHeight="1" spans="1:14" x14ac:dyDescent="0.25">
      <c r="A24" s="17">
        <f>A23+1</f>
        <v>2043</v>
      </c>
      <c r="B24" s="18">
        <f>G23</f>
        <v>25196032.14021464</v>
      </c>
      <c r="C24" s="18">
        <v>0</v>
      </c>
      <c r="D24" s="18">
        <f>$B$2</f>
        <v>35000</v>
      </c>
      <c r="E24" s="18">
        <f>D24*12</f>
        <v>420000</v>
      </c>
      <c r="F24" s="18">
        <f>((B24-C24)*$D$3)+(E24*($D$3/2))</f>
        <v>3048723.856825757</v>
      </c>
      <c r="G24" s="19">
        <f>(B24-C24)+E24+F24</f>
        <v>28664755.9970404</v>
      </c>
      <c r="H24" s="20">
        <f>H23+1</f>
        <v>60</v>
      </c>
      <c r="I24" s="21">
        <f>I23+1</f>
        <v>80</v>
      </c>
      <c r="J24" s="18">
        <f>N23</f>
        <v>37129731.07434173</v>
      </c>
      <c r="K24" s="18">
        <f>IF(J24&lt;=0, 0, MAX(0, FV($D$4/12, 12, M24/12, -J24, 1) - J24 + M24))</f>
        <v>3207344.012658639</v>
      </c>
      <c r="L24" s="22">
        <f>$F$4</f>
        <v>0.05</v>
      </c>
      <c r="M24" s="18">
        <f>IF(J24&lt;=0, 0, M23*(1+L24))</f>
        <v>5500843.962722482</v>
      </c>
      <c r="N24" s="19">
        <f>IF(J24&lt;=0, 0, MAX(0, J24+K24-M24))</f>
        <v>34836231.12427791</v>
      </c>
    </row>
    <row r="25" ht="20" customHeight="1" spans="1:14" x14ac:dyDescent="0.25">
      <c r="A25" s="17">
        <f>A24+1</f>
        <v>2044</v>
      </c>
      <c r="B25" s="18">
        <f>G24</f>
        <v>28664755.9970404</v>
      </c>
      <c r="C25" s="18">
        <v>0</v>
      </c>
      <c r="D25" s="18">
        <f>$B$2</f>
        <v>35000</v>
      </c>
      <c r="E25" s="18">
        <f>D25*12</f>
        <v>420000</v>
      </c>
      <c r="F25" s="18">
        <f>((B25-C25)*$D$3)+(E25*($D$3/2))</f>
        <v>3464970.719644848</v>
      </c>
      <c r="G25" s="19">
        <f>(B25-C25)+E25+F25</f>
        <v>32549726.716685247</v>
      </c>
      <c r="H25" s="20">
        <f>H24+1</f>
        <v>61</v>
      </c>
      <c r="I25" s="21">
        <f>I24+1</f>
        <v>81</v>
      </c>
      <c r="J25" s="18">
        <f>N24</f>
        <v>34836231.12427791</v>
      </c>
      <c r="K25" s="18">
        <f>IF(J25&lt;=0, 0, MAX(0, FV($D$4/12, 12, M25/12, -J25, 1) - J25 + M25))</f>
        <v>2978413.853995433</v>
      </c>
      <c r="L25" s="22">
        <f>$F$4</f>
        <v>0.05</v>
      </c>
      <c r="M25" s="18">
        <f>IF(J25&lt;=0, 0, M24*(1+L25))</f>
        <v>5775886.160858607</v>
      </c>
      <c r="N25" s="19">
        <f>IF(J25&lt;=0, 0, MAX(0, J25+K25-M25))</f>
        <v>32038758.81741474</v>
      </c>
    </row>
    <row r="26" ht="20" customHeight="1" spans="1:14" x14ac:dyDescent="0.25">
      <c r="A26" s="17">
        <f>A25+1</f>
        <v>2045</v>
      </c>
      <c r="B26" s="18">
        <f>G25</f>
        <v>32549726.716685247</v>
      </c>
      <c r="C26" s="18">
        <v>0</v>
      </c>
      <c r="D26" s="18">
        <f>$B$2</f>
        <v>35000</v>
      </c>
      <c r="E26" s="18">
        <f>D26*12</f>
        <v>420000</v>
      </c>
      <c r="F26" s="18">
        <f>((B26-C26)*$D$3)+(E26*($D$3/2))</f>
        <v>3931167.2060022294</v>
      </c>
      <c r="G26" s="19">
        <f>(B26-C26)+E26+F26</f>
        <v>36900893.92268748</v>
      </c>
      <c r="H26" s="20">
        <f>H25+1</f>
        <v>62</v>
      </c>
      <c r="I26" s="21">
        <f>I25+1</f>
        <v>82</v>
      </c>
      <c r="J26" s="18">
        <f>N25</f>
        <v>32038758.81741474</v>
      </c>
      <c r="K26" s="18">
        <f>IF(J26&lt;=0, 0, MAX(0, FV($D$4/12, 12, M26/12, -J26, 1) - J26 + M26))</f>
        <v>2701518.4098519892</v>
      </c>
      <c r="L26" s="22">
        <f>$F$4</f>
        <v>0.05</v>
      </c>
      <c r="M26" s="18">
        <f>IF(J26&lt;=0, 0, M25*(1+L26))</f>
        <v>6064680.468901537</v>
      </c>
      <c r="N26" s="19">
        <f>IF(J26&lt;=0, 0, MAX(0, J26+K26-M26))</f>
        <v>28675596.75836518</v>
      </c>
    </row>
    <row r="27" ht="20" customHeight="1" spans="1:14" x14ac:dyDescent="0.25">
      <c r="A27" s="23" t="s">
        <v>38</v>
      </c>
      <c r="B27" s="23" t="s">
        <v>38</v>
      </c>
      <c r="C27" s="23" t="s">
        <v>38</v>
      </c>
      <c r="D27" s="23" t="s">
        <v>38</v>
      </c>
      <c r="E27" s="23" t="s">
        <v>38</v>
      </c>
      <c r="F27" s="23" t="s">
        <v>38</v>
      </c>
      <c r="G27" s="23" t="s">
        <v>38</v>
      </c>
      <c r="H27" s="23" t="s">
        <v>38</v>
      </c>
      <c r="I27" s="21">
        <f>I26+1</f>
        <v>83</v>
      </c>
      <c r="J27" s="18">
        <f>N26</f>
        <v>28675596.75836518</v>
      </c>
      <c r="K27" s="18">
        <f>IF(J27&lt;=0, 0, MAX(0, FV($D$4/12, 12, M27/12, -J27, 1) - J27 + M27))</f>
        <v>2370833.702725869</v>
      </c>
      <c r="L27" s="22">
        <f>$F$4</f>
        <v>0.05</v>
      </c>
      <c r="M27" s="18">
        <f>IF(J27&lt;=0, 0, M26*(1+L27))</f>
        <v>6367914.492346615</v>
      </c>
      <c r="N27" s="19">
        <f>IF(J27&lt;=0, 0, MAX(0, J27+K27-M27))</f>
        <v>24678515.96874445</v>
      </c>
    </row>
    <row r="28" ht="20" customHeight="1" spans="1:14" x14ac:dyDescent="0.25">
      <c r="A28" s="23" t="s">
        <v>38</v>
      </c>
      <c r="B28" s="23" t="s">
        <v>38</v>
      </c>
      <c r="C28" s="23" t="s">
        <v>38</v>
      </c>
      <c r="D28" s="23" t="s">
        <v>38</v>
      </c>
      <c r="E28" s="23" t="s">
        <v>38</v>
      </c>
      <c r="F28" s="23" t="s">
        <v>38</v>
      </c>
      <c r="G28" s="23" t="s">
        <v>38</v>
      </c>
      <c r="H28" s="23" t="s">
        <v>38</v>
      </c>
      <c r="I28" s="21">
        <f>I27+1</f>
        <v>84</v>
      </c>
      <c r="J28" s="18">
        <f>N27</f>
        <v>24678515.96874445</v>
      </c>
      <c r="K28" s="18">
        <f>IF(J28&lt;=0, 0, MAX(0, FV($D$4/12, 12, M28/12, -J28, 1) - J28 + M28))</f>
        <v>1979923.200709242</v>
      </c>
      <c r="L28" s="22">
        <f>$F$4</f>
        <v>0.05</v>
      </c>
      <c r="M28" s="18">
        <f>IF(J28&lt;=0, 0, M27*(1+L28))</f>
        <v>6686310.216963946</v>
      </c>
      <c r="N28" s="19">
        <f>IF(J28&lt;=0, 0, MAX(0, J28+K28-M28))</f>
        <v>19972128.952489763</v>
      </c>
    </row>
    <row r="29" ht="20" customHeight="1" spans="1:14" x14ac:dyDescent="0.25">
      <c r="A29" s="23" t="s">
        <v>38</v>
      </c>
      <c r="B29" s="23" t="s">
        <v>38</v>
      </c>
      <c r="C29" s="23" t="s">
        <v>38</v>
      </c>
      <c r="D29" s="23" t="s">
        <v>38</v>
      </c>
      <c r="E29" s="23" t="s">
        <v>38</v>
      </c>
      <c r="F29" s="23" t="s">
        <v>38</v>
      </c>
      <c r="G29" s="23" t="s">
        <v>38</v>
      </c>
      <c r="H29" s="23" t="s">
        <v>38</v>
      </c>
      <c r="I29" s="21">
        <f>I28+1</f>
        <v>85</v>
      </c>
      <c r="J29" s="18">
        <f>N28</f>
        <v>19972128.952489763</v>
      </c>
      <c r="K29" s="18">
        <f>IF(J29&lt;=0, 0, MAX(0, FV($D$4/12, 12, M29/12, -J29, 1) - J29 + M29))</f>
        <v>1521677.0444032704</v>
      </c>
      <c r="L29" s="22">
        <f>$F$4</f>
        <v>0.05</v>
      </c>
      <c r="M29" s="18">
        <f>IF(J29&lt;=0, 0, M28*(1+L29))</f>
        <v>7020625.727812143</v>
      </c>
      <c r="N29" s="19">
        <f>IF(J29&lt;=0, 0, MAX(0, J29+K29-M29))</f>
        <v>14473180.269080894</v>
      </c>
    </row>
    <row r="30" ht="20" customHeight="1" spans="1:14" x14ac:dyDescent="0.25">
      <c r="A30" s="23" t="s">
        <v>38</v>
      </c>
      <c r="B30" s="23" t="s">
        <v>38</v>
      </c>
      <c r="C30" s="23" t="s">
        <v>38</v>
      </c>
      <c r="D30" s="23" t="s">
        <v>38</v>
      </c>
      <c r="E30" s="23" t="s">
        <v>38</v>
      </c>
      <c r="F30" s="23" t="s">
        <v>38</v>
      </c>
      <c r="G30" s="23" t="s">
        <v>38</v>
      </c>
      <c r="H30" s="23" t="s">
        <v>38</v>
      </c>
      <c r="I30" s="21">
        <f>I29+1</f>
        <v>86</v>
      </c>
      <c r="J30" s="18">
        <f>N29</f>
        <v>14473180.269080894</v>
      </c>
      <c r="K30" s="18">
        <f>IF(J30&lt;=0, 0, MAX(0, FV($D$4/12, 12, M30/12, -J30, 1) - J30 + M30))</f>
        <v>988245.4073350164</v>
      </c>
      <c r="L30" s="22">
        <f>$F$4</f>
        <v>0.05</v>
      </c>
      <c r="M30" s="18">
        <f>IF(J30&lt;=0, 0, M29*(1+L30))</f>
        <v>7371657.01420275</v>
      </c>
      <c r="N30" s="19">
        <f>IF(J30&lt;=0, 0, MAX(0, J30+K30-M30))</f>
        <v>8089768.662213167</v>
      </c>
    </row>
    <row r="31" ht="20" customHeight="1" spans="1:14" x14ac:dyDescent="0.25">
      <c r="A31" s="23" t="s">
        <v>38</v>
      </c>
      <c r="B31" s="23" t="s">
        <v>38</v>
      </c>
      <c r="C31" s="23" t="s">
        <v>38</v>
      </c>
      <c r="D31" s="23" t="s">
        <v>38</v>
      </c>
      <c r="E31" s="23" t="s">
        <v>38</v>
      </c>
      <c r="F31" s="23" t="s">
        <v>38</v>
      </c>
      <c r="G31" s="23" t="s">
        <v>38</v>
      </c>
      <c r="H31" s="23" t="s">
        <v>38</v>
      </c>
      <c r="I31" s="21">
        <f>I30+1</f>
        <v>87</v>
      </c>
      <c r="J31" s="18">
        <f>N30</f>
        <v>8089768.662213167</v>
      </c>
      <c r="K31" s="18">
        <f>IF(J31&lt;=0, 0, MAX(0, FV($D$4/12, 12, M31/12, -J31, 1) - J31 + M31))</f>
        <v>370965.4312807924</v>
      </c>
      <c r="L31" s="22">
        <f>$F$4</f>
        <v>0.05</v>
      </c>
      <c r="M31" s="18">
        <f>IF(J31&lt;=0, 0, M30*(1+L31))</f>
        <v>7740239.864912888</v>
      </c>
      <c r="N31" s="19">
        <f>IF(J31&lt;=0, 0, MAX(0, J31+K31-M31))</f>
        <v>720494.2285810703</v>
      </c>
    </row>
    <row r="32" ht="20" customHeight="1" spans="1:14" x14ac:dyDescent="0.25">
      <c r="A32" s="23" t="s">
        <v>38</v>
      </c>
      <c r="B32" s="23" t="s">
        <v>38</v>
      </c>
      <c r="C32" s="23" t="s">
        <v>38</v>
      </c>
      <c r="D32" s="23" t="s">
        <v>38</v>
      </c>
      <c r="E32" s="23" t="s">
        <v>38</v>
      </c>
      <c r="F32" s="23" t="s">
        <v>38</v>
      </c>
      <c r="G32" s="23" t="s">
        <v>38</v>
      </c>
      <c r="H32" s="23" t="s">
        <v>38</v>
      </c>
      <c r="I32" s="21">
        <f>I31+1</f>
        <v>88</v>
      </c>
      <c r="J32" s="18">
        <f>N31</f>
        <v>720494.2285810703</v>
      </c>
      <c r="K32" s="18">
        <v>324.17430300894426</v>
      </c>
      <c r="L32" s="22">
        <f>$F$4</f>
        <v>0.05</v>
      </c>
      <c r="M32" s="18">
        <f>IF(J32&lt;=0, 0, M31*(1+L32))</f>
        <v>8127251.8581585325</v>
      </c>
      <c r="N32" s="24">
        <f>IF(J32&lt;=0, 0, MAX(0, J32+K32-M32))</f>
        <v>0</v>
      </c>
    </row>
    <row r="33" ht="20" customHeight="1" spans="1:14" x14ac:dyDescent="0.25">
      <c r="A33" s="23" t="s">
        <v>38</v>
      </c>
      <c r="B33" s="23" t="s">
        <v>38</v>
      </c>
      <c r="C33" s="23" t="s">
        <v>38</v>
      </c>
      <c r="D33" s="23" t="s">
        <v>38</v>
      </c>
      <c r="E33" s="23" t="s">
        <v>38</v>
      </c>
      <c r="F33" s="23" t="s">
        <v>38</v>
      </c>
      <c r="G33" s="23" t="s">
        <v>38</v>
      </c>
      <c r="H33" s="23" t="s">
        <v>38</v>
      </c>
      <c r="I33" s="21">
        <f>I32+1</f>
        <v>89</v>
      </c>
      <c r="J33" s="18">
        <f>N32</f>
        <v>0</v>
      </c>
      <c r="K33" s="18">
        <v>0</v>
      </c>
      <c r="L33" s="22">
        <f>$F$4</f>
        <v>0.05</v>
      </c>
      <c r="M33" s="18">
        <f>IF(J33&lt;=0, 0, M32*(1+L33))</f>
        <v>8533614.451066459</v>
      </c>
      <c r="N33" s="24">
        <f>IF(J33&lt;=0, 0, MAX(0, J33+K33-M33))</f>
        <v>0</v>
      </c>
    </row>
    <row r="34" ht="20" customHeight="1" spans="1:14" x14ac:dyDescent="0.25">
      <c r="A34" s="23" t="s">
        <v>38</v>
      </c>
      <c r="B34" s="23" t="s">
        <v>38</v>
      </c>
      <c r="C34" s="23" t="s">
        <v>38</v>
      </c>
      <c r="D34" s="23" t="s">
        <v>38</v>
      </c>
      <c r="E34" s="23" t="s">
        <v>38</v>
      </c>
      <c r="F34" s="23" t="s">
        <v>38</v>
      </c>
      <c r="G34" s="23" t="s">
        <v>38</v>
      </c>
      <c r="H34" s="23" t="s">
        <v>38</v>
      </c>
      <c r="I34" s="21">
        <f>I33+1</f>
        <v>90</v>
      </c>
      <c r="J34" s="18">
        <f>N33</f>
        <v>0</v>
      </c>
      <c r="K34" s="18">
        <v>0</v>
      </c>
      <c r="L34" s="22">
        <f>$F$4</f>
        <v>0.05</v>
      </c>
      <c r="M34" s="18">
        <f>IF(J34&lt;=0, 0, M33*(1+L34))</f>
        <v>8960295.173619783</v>
      </c>
      <c r="N34" s="24">
        <f>IF(J34&lt;=0, 0, MAX(0, J34+K34-M34))</f>
        <v>0</v>
      </c>
    </row>
    <row r="35" ht="20" customHeight="1" spans="1:14" x14ac:dyDescent="0.25">
      <c r="A35" s="23" t="s">
        <v>38</v>
      </c>
      <c r="B35" s="23" t="s">
        <v>38</v>
      </c>
      <c r="C35" s="23" t="s">
        <v>38</v>
      </c>
      <c r="D35" s="23" t="s">
        <v>38</v>
      </c>
      <c r="E35" s="23" t="s">
        <v>38</v>
      </c>
      <c r="F35" s="23" t="s">
        <v>38</v>
      </c>
      <c r="G35" s="23" t="s">
        <v>38</v>
      </c>
      <c r="H35" s="23" t="s">
        <v>38</v>
      </c>
      <c r="I35" s="21">
        <f>I34+1</f>
        <v>91</v>
      </c>
      <c r="J35" s="18">
        <f>N34</f>
        <v>0</v>
      </c>
      <c r="K35" s="18">
        <v>0</v>
      </c>
      <c r="L35" s="22">
        <f>$F$4</f>
        <v>0.05</v>
      </c>
      <c r="M35" s="18">
        <f>IF(J35&lt;=0, 0, M34*(1+L35))</f>
        <v>9408309.932300773</v>
      </c>
      <c r="N35" s="24">
        <f>IF(J35&lt;=0, 0, MAX(0, J35+K35-M35))</f>
        <v>0</v>
      </c>
    </row>
    <row r="36" ht="20" customHeight="1" spans="1:14" x14ac:dyDescent="0.25">
      <c r="A36" s="23" t="s">
        <v>38</v>
      </c>
      <c r="B36" s="23" t="s">
        <v>38</v>
      </c>
      <c r="C36" s="23" t="s">
        <v>38</v>
      </c>
      <c r="D36" s="23" t="s">
        <v>38</v>
      </c>
      <c r="E36" s="23" t="s">
        <v>38</v>
      </c>
      <c r="F36" s="23" t="s">
        <v>38</v>
      </c>
      <c r="G36" s="23" t="s">
        <v>38</v>
      </c>
      <c r="H36" s="23" t="s">
        <v>38</v>
      </c>
      <c r="I36" s="21">
        <f>I35+1</f>
        <v>92</v>
      </c>
      <c r="J36" s="18">
        <f>N35</f>
        <v>0</v>
      </c>
      <c r="K36" s="18">
        <v>0</v>
      </c>
      <c r="L36" s="22">
        <f>$F$4</f>
        <v>0.05</v>
      </c>
      <c r="M36" s="18">
        <f>IF(J36&lt;=0, 0, M35*(1+L36))</f>
        <v>9878725.428915812</v>
      </c>
      <c r="N36" s="24">
        <f>IF(J36&lt;=0, 0, MAX(0, J36+K36-M36))</f>
        <v>0</v>
      </c>
    </row>
    <row r="37" ht="20" customHeight="1" spans="1:14" x14ac:dyDescent="0.25">
      <c r="A37" s="23" t="s">
        <v>38</v>
      </c>
      <c r="B37" s="23" t="s">
        <v>38</v>
      </c>
      <c r="C37" s="23" t="s">
        <v>38</v>
      </c>
      <c r="D37" s="23" t="s">
        <v>38</v>
      </c>
      <c r="E37" s="23" t="s">
        <v>38</v>
      </c>
      <c r="F37" s="23" t="s">
        <v>38</v>
      </c>
      <c r="G37" s="23" t="s">
        <v>38</v>
      </c>
      <c r="H37" s="23" t="s">
        <v>38</v>
      </c>
      <c r="I37" s="21">
        <f>I36+1</f>
        <v>93</v>
      </c>
      <c r="J37" s="18">
        <f>N36</f>
        <v>0</v>
      </c>
      <c r="K37" s="18">
        <v>0</v>
      </c>
      <c r="L37" s="22">
        <f>$F$4</f>
        <v>0.05</v>
      </c>
      <c r="M37" s="18">
        <f>IF(J37&lt;=0, 0, M36*(1+L37))</f>
        <v>10372661.700361602</v>
      </c>
      <c r="N37" s="24">
        <f>IF(J37&lt;=0, 0, MAX(0, J37+K37-M37))</f>
        <v>0</v>
      </c>
    </row>
    <row r="38" ht="20" customHeight="1" spans="1:14" x14ac:dyDescent="0.25">
      <c r="A38" s="23" t="s">
        <v>38</v>
      </c>
      <c r="B38" s="23" t="s">
        <v>38</v>
      </c>
      <c r="C38" s="23" t="s">
        <v>38</v>
      </c>
      <c r="D38" s="23" t="s">
        <v>38</v>
      </c>
      <c r="E38" s="23" t="s">
        <v>38</v>
      </c>
      <c r="F38" s="23" t="s">
        <v>38</v>
      </c>
      <c r="G38" s="23" t="s">
        <v>38</v>
      </c>
      <c r="H38" s="23" t="s">
        <v>38</v>
      </c>
      <c r="I38" s="21">
        <f>I37+1</f>
        <v>94</v>
      </c>
      <c r="J38" s="18">
        <f>N37</f>
        <v>0</v>
      </c>
      <c r="K38" s="18">
        <v>0</v>
      </c>
      <c r="L38" s="22">
        <f>$F$4</f>
        <v>0.05</v>
      </c>
      <c r="M38" s="18">
        <f>IF(J38&lt;=0, 0, M37*(1+L38))</f>
        <v>10891294.785379682</v>
      </c>
      <c r="N38" s="24">
        <f>IF(J38&lt;=0, 0, MAX(0, J38+K38-M38))</f>
        <v>0</v>
      </c>
    </row>
    <row r="39" ht="20" customHeight="1" spans="1:14" x14ac:dyDescent="0.25">
      <c r="A39" s="23" t="s">
        <v>38</v>
      </c>
      <c r="B39" s="23" t="s">
        <v>38</v>
      </c>
      <c r="C39" s="23" t="s">
        <v>38</v>
      </c>
      <c r="D39" s="23" t="s">
        <v>38</v>
      </c>
      <c r="E39" s="23" t="s">
        <v>38</v>
      </c>
      <c r="F39" s="23" t="s">
        <v>38</v>
      </c>
      <c r="G39" s="23" t="s">
        <v>38</v>
      </c>
      <c r="H39" s="23" t="s">
        <v>38</v>
      </c>
      <c r="I39" s="21">
        <f>I38+1</f>
        <v>95</v>
      </c>
      <c r="J39" s="18">
        <f>N38</f>
        <v>0</v>
      </c>
      <c r="K39" s="18">
        <v>0</v>
      </c>
      <c r="L39" s="22">
        <f>$F$4</f>
        <v>0.05</v>
      </c>
      <c r="M39" s="18">
        <f>IF(J39&lt;=0, 0, M38*(1+L39))</f>
        <v>11435859.524648666</v>
      </c>
      <c r="N39" s="24">
        <f>IF(J39&lt;=0, 0, MAX(0, J39+K39-M39))</f>
        <v>0</v>
      </c>
    </row>
    <row r="40" ht="20" customHeight="1" spans="1:14" x14ac:dyDescent="0.25">
      <c r="A40" s="23" t="s">
        <v>38</v>
      </c>
      <c r="B40" s="23" t="s">
        <v>38</v>
      </c>
      <c r="C40" s="23" t="s">
        <v>38</v>
      </c>
      <c r="D40" s="23" t="s">
        <v>38</v>
      </c>
      <c r="E40" s="23" t="s">
        <v>38</v>
      </c>
      <c r="F40" s="23" t="s">
        <v>38</v>
      </c>
      <c r="G40" s="23" t="s">
        <v>38</v>
      </c>
      <c r="H40" s="23" t="s">
        <v>38</v>
      </c>
      <c r="I40" s="21">
        <f>I39+1</f>
        <v>96</v>
      </c>
      <c r="J40" s="18">
        <f>N39</f>
        <v>0</v>
      </c>
      <c r="K40" s="18">
        <v>0</v>
      </c>
      <c r="L40" s="22">
        <f>$F$4</f>
        <v>0.05</v>
      </c>
      <c r="M40" s="18">
        <f>IF(J40&lt;=0, 0, M39*(1+L40))</f>
        <v>12007652.5008811</v>
      </c>
      <c r="N40" s="24">
        <f>IF(J40&lt;=0, 0, MAX(0, J40+K40-M40))</f>
        <v>0</v>
      </c>
    </row>
    <row r="41" ht="20" customHeight="1" spans="1:14" x14ac:dyDescent="0.25">
      <c r="A41" s="23" t="s">
        <v>38</v>
      </c>
      <c r="B41" s="23" t="s">
        <v>38</v>
      </c>
      <c r="C41" s="23" t="s">
        <v>38</v>
      </c>
      <c r="D41" s="23" t="s">
        <v>38</v>
      </c>
      <c r="E41" s="23" t="s">
        <v>38</v>
      </c>
      <c r="F41" s="23" t="s">
        <v>38</v>
      </c>
      <c r="G41" s="23" t="s">
        <v>38</v>
      </c>
      <c r="H41" s="23" t="s">
        <v>38</v>
      </c>
      <c r="I41" s="21">
        <f>I40+1</f>
        <v>97</v>
      </c>
      <c r="J41" s="18">
        <f>N40</f>
        <v>0</v>
      </c>
      <c r="K41" s="18">
        <v>0</v>
      </c>
      <c r="L41" s="22">
        <f>$F$4</f>
        <v>0.05</v>
      </c>
      <c r="M41" s="18">
        <f>IF(J41&lt;=0, 0, M40*(1+L41))</f>
        <v>12608035.125925155</v>
      </c>
      <c r="N41" s="24">
        <f>IF(J41&lt;=0, 0, MAX(0, J41+K41-M41))</f>
        <v>0</v>
      </c>
    </row>
    <row r="42" ht="20" customHeight="1" spans="1:14" x14ac:dyDescent="0.25">
      <c r="A42" s="23" t="s">
        <v>38</v>
      </c>
      <c r="B42" s="23" t="s">
        <v>38</v>
      </c>
      <c r="C42" s="23" t="s">
        <v>38</v>
      </c>
      <c r="D42" s="23" t="s">
        <v>38</v>
      </c>
      <c r="E42" s="23" t="s">
        <v>38</v>
      </c>
      <c r="F42" s="23" t="s">
        <v>38</v>
      </c>
      <c r="G42" s="23" t="s">
        <v>38</v>
      </c>
      <c r="H42" s="23" t="s">
        <v>38</v>
      </c>
      <c r="I42" s="21">
        <f>I41+1</f>
        <v>98</v>
      </c>
      <c r="J42" s="18">
        <f>N41</f>
        <v>0</v>
      </c>
      <c r="K42" s="18">
        <v>0</v>
      </c>
      <c r="L42" s="22">
        <f>$F$4</f>
        <v>0.05</v>
      </c>
      <c r="M42" s="18">
        <f>IF(J42&lt;=0, 0, M41*(1+L42))</f>
        <v>13238436.882221414</v>
      </c>
      <c r="N42" s="24">
        <f>IF(J42&lt;=0, 0, MAX(0, J42+K42-M42))</f>
        <v>0</v>
      </c>
    </row>
    <row r="43" ht="20" customHeight="1" spans="1:14" x14ac:dyDescent="0.25">
      <c r="A43" s="23" t="s">
        <v>38</v>
      </c>
      <c r="B43" s="23" t="s">
        <v>38</v>
      </c>
      <c r="C43" s="23" t="s">
        <v>38</v>
      </c>
      <c r="D43" s="23" t="s">
        <v>38</v>
      </c>
      <c r="E43" s="23" t="s">
        <v>38</v>
      </c>
      <c r="F43" s="23" t="s">
        <v>38</v>
      </c>
      <c r="G43" s="23" t="s">
        <v>38</v>
      </c>
      <c r="H43" s="23" t="s">
        <v>38</v>
      </c>
      <c r="I43" s="21">
        <f>I42+1</f>
        <v>99</v>
      </c>
      <c r="J43" s="18">
        <f>N42</f>
        <v>0</v>
      </c>
      <c r="K43" s="18">
        <v>0</v>
      </c>
      <c r="L43" s="22">
        <f>$F$4</f>
        <v>0.05</v>
      </c>
      <c r="M43" s="18">
        <f>IF(J43&lt;=0, 0, M42*(1+L43))</f>
        <v>13900358.726332486</v>
      </c>
      <c r="N43" s="24">
        <f>IF(J43&lt;=0, 0, MAX(0, J43+K43-M43))</f>
        <v>0</v>
      </c>
    </row>
    <row r="44" ht="20" customHeight="1" spans="1:14" x14ac:dyDescent="0.25">
      <c r="A44" s="23" t="s">
        <v>38</v>
      </c>
      <c r="B44" s="23" t="s">
        <v>38</v>
      </c>
      <c r="C44" s="23" t="s">
        <v>38</v>
      </c>
      <c r="D44" s="23" t="s">
        <v>38</v>
      </c>
      <c r="E44" s="23" t="s">
        <v>38</v>
      </c>
      <c r="F44" s="23" t="s">
        <v>38</v>
      </c>
      <c r="G44" s="23" t="s">
        <v>38</v>
      </c>
      <c r="H44" s="23" t="s">
        <v>38</v>
      </c>
      <c r="I44" s="21">
        <f>I43+1</f>
        <v>100</v>
      </c>
      <c r="J44" s="18">
        <f>N43</f>
        <v>0</v>
      </c>
      <c r="K44" s="18">
        <v>0</v>
      </c>
      <c r="L44" s="22">
        <f>$F$4</f>
        <v>0.05</v>
      </c>
      <c r="M44" s="18">
        <f>IF(J44&lt;=0, 0, M43*(1+L44))</f>
        <v>14595376.66264911</v>
      </c>
      <c r="N44" s="24">
        <f>IF(J44&lt;=0, 0, MAX(0, J44+K44-M44))</f>
        <v>0</v>
      </c>
    </row>
    <row r="45" ht="20" customHeight="1" spans="1:14" x14ac:dyDescent="0.25">
      <c r="A45" s="23" t="s">
        <v>38</v>
      </c>
      <c r="B45" s="23" t="s">
        <v>38</v>
      </c>
      <c r="C45" s="23" t="s">
        <v>38</v>
      </c>
      <c r="D45" s="23" t="s">
        <v>38</v>
      </c>
      <c r="E45" s="23" t="s">
        <v>38</v>
      </c>
      <c r="F45" s="23" t="s">
        <v>38</v>
      </c>
      <c r="G45" s="23" t="s">
        <v>38</v>
      </c>
      <c r="H45" s="23" t="s">
        <v>38</v>
      </c>
      <c r="I45" s="21">
        <f>I44+1</f>
        <v>101</v>
      </c>
      <c r="J45" s="18">
        <f>N44</f>
        <v>0</v>
      </c>
      <c r="K45" s="18">
        <v>0</v>
      </c>
      <c r="L45" s="22">
        <f>$F$4</f>
        <v>0.05</v>
      </c>
      <c r="M45" s="18">
        <f>IF(J45&lt;=0, 0, M44*(1+L45))</f>
        <v>15325145.495781567</v>
      </c>
      <c r="N45" s="24">
        <f>IF(J45&lt;=0, 0, MAX(0, J45+K45-M45))</f>
        <v>0</v>
      </c>
    </row>
    <row r="46" ht="20" customHeight="1" spans="1:14" x14ac:dyDescent="0.25">
      <c r="A46" s="23" t="s">
        <v>38</v>
      </c>
      <c r="B46" s="23" t="s">
        <v>38</v>
      </c>
      <c r="C46" s="23" t="s">
        <v>38</v>
      </c>
      <c r="D46" s="23" t="s">
        <v>38</v>
      </c>
      <c r="E46" s="23" t="s">
        <v>38</v>
      </c>
      <c r="F46" s="23" t="s">
        <v>38</v>
      </c>
      <c r="G46" s="23" t="s">
        <v>38</v>
      </c>
      <c r="H46" s="23" t="s">
        <v>38</v>
      </c>
      <c r="I46" s="21">
        <f>I45+1</f>
        <v>102</v>
      </c>
      <c r="J46" s="18">
        <f>N45</f>
        <v>0</v>
      </c>
      <c r="K46" s="18">
        <v>0</v>
      </c>
      <c r="L46" s="22">
        <f>$F$4</f>
        <v>0.05</v>
      </c>
      <c r="M46" s="18">
        <f>IF(J46&lt;=0, 0, M45*(1+L46))</f>
        <v>16091402.770570645</v>
      </c>
      <c r="N46" s="24">
        <f>IF(J46&lt;=0, 0, MAX(0, J46+K46-M46))</f>
        <v>0</v>
      </c>
    </row>
    <row r="47" ht="20" customHeight="1" spans="1:14" x14ac:dyDescent="0.25">
      <c r="A47" s="23" t="s">
        <v>38</v>
      </c>
      <c r="B47" s="23" t="s">
        <v>38</v>
      </c>
      <c r="C47" s="23" t="s">
        <v>38</v>
      </c>
      <c r="D47" s="23" t="s">
        <v>38</v>
      </c>
      <c r="E47" s="23" t="s">
        <v>38</v>
      </c>
      <c r="F47" s="23" t="s">
        <v>38</v>
      </c>
      <c r="G47" s="23" t="s">
        <v>38</v>
      </c>
      <c r="H47" s="23" t="s">
        <v>38</v>
      </c>
      <c r="I47" s="21">
        <f>I46+1</f>
        <v>103</v>
      </c>
      <c r="J47" s="18">
        <f>N46</f>
        <v>0</v>
      </c>
      <c r="K47" s="18">
        <v>0</v>
      </c>
      <c r="L47" s="22">
        <f>$F$4</f>
        <v>0.05</v>
      </c>
      <c r="M47" s="18">
        <f>IF(J47&lt;=0, 0, M46*(1+L47))</f>
        <v>16895972.909099177</v>
      </c>
      <c r="N47" s="24">
        <f>IF(J47&lt;=0, 0, MAX(0, J47+K47-M47))</f>
        <v>0</v>
      </c>
    </row>
    <row r="48" ht="20" customHeight="1" spans="1:14" x14ac:dyDescent="0.25">
      <c r="A48" s="23" t="s">
        <v>38</v>
      </c>
      <c r="B48" s="23" t="s">
        <v>38</v>
      </c>
      <c r="C48" s="23" t="s">
        <v>38</v>
      </c>
      <c r="D48" s="23" t="s">
        <v>38</v>
      </c>
      <c r="E48" s="23" t="s">
        <v>38</v>
      </c>
      <c r="F48" s="23" t="s">
        <v>38</v>
      </c>
      <c r="G48" s="23" t="s">
        <v>38</v>
      </c>
      <c r="H48" s="23" t="s">
        <v>38</v>
      </c>
      <c r="I48" s="21">
        <f>I47+1</f>
        <v>104</v>
      </c>
      <c r="J48" s="18">
        <f>N47</f>
        <v>0</v>
      </c>
      <c r="K48" s="18">
        <v>0</v>
      </c>
      <c r="L48" s="22">
        <f>$F$4</f>
        <v>0.05</v>
      </c>
      <c r="M48" s="18">
        <f>IF(J48&lt;=0, 0, M47*(1+L48))</f>
        <v>17740771.554554135</v>
      </c>
      <c r="N48" s="24">
        <f>IF(J48&lt;=0, 0, MAX(0, J48+K48-M48))</f>
        <v>0</v>
      </c>
    </row>
    <row r="49" ht="20" customHeight="1" spans="1:14" x14ac:dyDescent="0.25">
      <c r="A49" s="23" t="s">
        <v>38</v>
      </c>
      <c r="B49" s="23" t="s">
        <v>38</v>
      </c>
      <c r="C49" s="23" t="s">
        <v>38</v>
      </c>
      <c r="D49" s="23" t="s">
        <v>38</v>
      </c>
      <c r="E49" s="23" t="s">
        <v>38</v>
      </c>
      <c r="F49" s="23" t="s">
        <v>38</v>
      </c>
      <c r="G49" s="23" t="s">
        <v>38</v>
      </c>
      <c r="H49" s="23" t="s">
        <v>38</v>
      </c>
      <c r="I49" s="21">
        <f>I48+1</f>
        <v>105</v>
      </c>
      <c r="J49" s="18">
        <f>N48</f>
        <v>0</v>
      </c>
      <c r="K49" s="18">
        <v>0</v>
      </c>
      <c r="L49" s="22">
        <f>$F$4</f>
        <v>0.05</v>
      </c>
      <c r="M49" s="18">
        <f>IF(J49&lt;=0, 0, M48*(1+L49))</f>
        <v>18627810.132281844</v>
      </c>
      <c r="N49" s="24">
        <f>IF(J49&lt;=0, 0, MAX(0, J49+K49-M49))</f>
        <v>0</v>
      </c>
    </row>
    <row r="50" ht="20" customHeight="1" spans="1:14" x14ac:dyDescent="0.25">
      <c r="A50" s="23" t="s">
        <v>38</v>
      </c>
      <c r="B50" s="23" t="s">
        <v>38</v>
      </c>
      <c r="C50" s="23" t="s">
        <v>38</v>
      </c>
      <c r="D50" s="23" t="s">
        <v>38</v>
      </c>
      <c r="E50" s="23" t="s">
        <v>38</v>
      </c>
      <c r="F50" s="23" t="s">
        <v>38</v>
      </c>
      <c r="G50" s="23" t="s">
        <v>38</v>
      </c>
      <c r="H50" s="23" t="s">
        <v>38</v>
      </c>
      <c r="I50" s="21">
        <f>I49+1</f>
        <v>106</v>
      </c>
      <c r="J50" s="18">
        <f>N49</f>
        <v>0</v>
      </c>
      <c r="K50" s="18">
        <v>0</v>
      </c>
      <c r="L50" s="22">
        <f>$F$4</f>
        <v>0.05</v>
      </c>
      <c r="M50" s="18">
        <f>IF(J50&lt;=0, 0, M49*(1+L50))</f>
        <v>19559200.638895936</v>
      </c>
      <c r="N50" s="24">
        <f>IF(J50&lt;=0, 0, MAX(0, J50+K50-M50))</f>
        <v>0</v>
      </c>
    </row>
    <row r="51" ht="20" customHeight="1" spans="1:14" x14ac:dyDescent="0.25">
      <c r="A51" s="23" t="s">
        <v>38</v>
      </c>
      <c r="B51" s="23" t="s">
        <v>38</v>
      </c>
      <c r="C51" s="23" t="s">
        <v>38</v>
      </c>
      <c r="D51" s="23" t="s">
        <v>38</v>
      </c>
      <c r="E51" s="23" t="s">
        <v>38</v>
      </c>
      <c r="F51" s="23" t="s">
        <v>38</v>
      </c>
      <c r="G51" s="23" t="s">
        <v>38</v>
      </c>
      <c r="H51" s="23" t="s">
        <v>38</v>
      </c>
      <c r="I51" s="21">
        <f>I50+1</f>
        <v>107</v>
      </c>
      <c r="J51" s="18">
        <f>N50</f>
        <v>0</v>
      </c>
      <c r="K51" s="18">
        <v>0</v>
      </c>
      <c r="L51" s="22">
        <f>$F$4</f>
        <v>0.05</v>
      </c>
      <c r="M51" s="18">
        <f>IF(J51&lt;=0, 0, M50*(1+L51))</f>
        <v>20537160.670840733</v>
      </c>
      <c r="N51" s="24">
        <f>IF(J51&lt;=0, 0, MAX(0, J51+K51-M51))</f>
        <v>0</v>
      </c>
    </row>
    <row r="52" ht="20" customHeight="1" spans="1:14" x14ac:dyDescent="0.25">
      <c r="A52" s="23" t="s">
        <v>38</v>
      </c>
      <c r="B52" s="23" t="s">
        <v>38</v>
      </c>
      <c r="C52" s="23" t="s">
        <v>38</v>
      </c>
      <c r="D52" s="23" t="s">
        <v>38</v>
      </c>
      <c r="E52" s="23" t="s">
        <v>38</v>
      </c>
      <c r="F52" s="23" t="s">
        <v>38</v>
      </c>
      <c r="G52" s="23" t="s">
        <v>38</v>
      </c>
      <c r="H52" s="23" t="s">
        <v>38</v>
      </c>
      <c r="I52" s="21">
        <f>I51+1</f>
        <v>108</v>
      </c>
      <c r="J52" s="18">
        <f>N51</f>
        <v>0</v>
      </c>
      <c r="K52" s="18">
        <v>0</v>
      </c>
      <c r="L52" s="22">
        <f>$F$4</f>
        <v>0.05</v>
      </c>
      <c r="M52" s="18">
        <f>IF(J52&lt;=0, 0, M51*(1+L52))</f>
        <v>21564018.70438277</v>
      </c>
      <c r="N52" s="24">
        <f>IF(J52&lt;=0, 0, MAX(0, J52+K52-M52))</f>
        <v>0</v>
      </c>
    </row>
    <row r="53" ht="20" customHeight="1" spans="1:14" x14ac:dyDescent="0.25">
      <c r="A53" s="23" t="s">
        <v>38</v>
      </c>
      <c r="B53" s="23" t="s">
        <v>38</v>
      </c>
      <c r="C53" s="23" t="s">
        <v>38</v>
      </c>
      <c r="D53" s="23" t="s">
        <v>38</v>
      </c>
      <c r="E53" s="23" t="s">
        <v>38</v>
      </c>
      <c r="F53" s="23" t="s">
        <v>38</v>
      </c>
      <c r="G53" s="23" t="s">
        <v>38</v>
      </c>
      <c r="H53" s="23" t="s">
        <v>38</v>
      </c>
      <c r="I53" s="21">
        <f>I52+1</f>
        <v>109</v>
      </c>
      <c r="J53" s="18">
        <f>N52</f>
        <v>0</v>
      </c>
      <c r="K53" s="18">
        <v>0</v>
      </c>
      <c r="L53" s="22">
        <f>$F$4</f>
        <v>0.05</v>
      </c>
      <c r="M53" s="18">
        <f>IF(J53&lt;=0, 0, M52*(1+L53))</f>
        <v>22642219.63960191</v>
      </c>
      <c r="N53" s="24">
        <f>IF(J53&lt;=0, 0, MAX(0, J53+K53-M53))</f>
        <v>0</v>
      </c>
    </row>
    <row r="54" ht="20" customHeight="1" spans="1:14" x14ac:dyDescent="0.25">
      <c r="A54" s="23" t="s">
        <v>38</v>
      </c>
      <c r="B54" s="23" t="s">
        <v>38</v>
      </c>
      <c r="C54" s="23" t="s">
        <v>38</v>
      </c>
      <c r="D54" s="23" t="s">
        <v>38</v>
      </c>
      <c r="E54" s="23" t="s">
        <v>38</v>
      </c>
      <c r="F54" s="23" t="s">
        <v>38</v>
      </c>
      <c r="G54" s="23" t="s">
        <v>38</v>
      </c>
      <c r="H54" s="23" t="s">
        <v>38</v>
      </c>
      <c r="I54" s="21">
        <f>I53+1</f>
        <v>110</v>
      </c>
      <c r="J54" s="18">
        <f>N53</f>
        <v>0</v>
      </c>
      <c r="K54" s="18">
        <v>0</v>
      </c>
      <c r="L54" s="22">
        <f>$F$4</f>
        <v>0.05</v>
      </c>
      <c r="M54" s="18">
        <f>IF(J54&lt;=0, 0, M53*(1+L54))</f>
        <v>23774330.621582005</v>
      </c>
      <c r="N54" s="24">
        <f>IF(J54&lt;=0, 0, MAX(0, J54+K54-M54))</f>
        <v>0</v>
      </c>
    </row>
    <row r="55" ht="20" customHeight="1" spans="1:14" x14ac:dyDescent="0.25">
      <c r="A55" s="23" t="s">
        <v>38</v>
      </c>
      <c r="B55" s="23" t="s">
        <v>38</v>
      </c>
      <c r="C55" s="23" t="s">
        <v>38</v>
      </c>
      <c r="D55" s="23" t="s">
        <v>38</v>
      </c>
      <c r="E55" s="23" t="s">
        <v>38</v>
      </c>
      <c r="F55" s="23" t="s">
        <v>38</v>
      </c>
      <c r="G55" s="23" t="s">
        <v>38</v>
      </c>
      <c r="H55" s="23" t="s">
        <v>38</v>
      </c>
      <c r="I55" s="21">
        <f>I54+1</f>
        <v>111</v>
      </c>
      <c r="J55" s="18">
        <f>N54</f>
        <v>0</v>
      </c>
      <c r="K55" s="18">
        <v>0</v>
      </c>
      <c r="L55" s="22">
        <f>$F$4</f>
        <v>0.05</v>
      </c>
      <c r="M55" s="18">
        <f>IF(J55&lt;=0, 0, M54*(1+L55))</f>
        <v>24963047.152661107</v>
      </c>
      <c r="N55" s="24">
        <f>IF(J55&lt;=0, 0, MAX(0, J55+K55-M55))</f>
        <v>0</v>
      </c>
    </row>
    <row r="56" ht="20" customHeight="1" spans="1:14" x14ac:dyDescent="0.25">
      <c r="A56" s="23" t="s">
        <v>38</v>
      </c>
      <c r="B56" s="23" t="s">
        <v>38</v>
      </c>
      <c r="C56" s="23" t="s">
        <v>38</v>
      </c>
      <c r="D56" s="23" t="s">
        <v>38</v>
      </c>
      <c r="E56" s="23" t="s">
        <v>38</v>
      </c>
      <c r="F56" s="23" t="s">
        <v>38</v>
      </c>
      <c r="G56" s="23" t="s">
        <v>38</v>
      </c>
      <c r="H56" s="23" t="s">
        <v>38</v>
      </c>
      <c r="I56" s="21">
        <f>I55+1</f>
        <v>112</v>
      </c>
      <c r="J56" s="18">
        <f>N55</f>
        <v>0</v>
      </c>
      <c r="K56" s="18">
        <v>0</v>
      </c>
      <c r="L56" s="22">
        <f>$F$4</f>
        <v>0.05</v>
      </c>
      <c r="M56" s="18">
        <f>IF(J56&lt;=0, 0, M55*(1+L56))</f>
        <v>26211199.510294165</v>
      </c>
      <c r="N56" s="24">
        <f>IF(J56&lt;=0, 0, MAX(0, J56+K56-M56))</f>
        <v>0</v>
      </c>
    </row>
    <row r="58" spans="1:14" x14ac:dyDescent="0.25">
      <c r="A58" s="25" t="s">
        <v>39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</sheetData>
  <mergeCells count="5">
    <mergeCell ref="A1:N1"/>
    <mergeCell ref="K4:N4"/>
    <mergeCell ref="A5:H5"/>
    <mergeCell ref="I5:N5"/>
    <mergeCell ref="A58:N5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Snazzy WealthPlan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Snazzy WealthPlan</dc:creator>
  <dc:title/>
  <dc:subject/>
  <dc:description/>
  <cp:keywords/>
  <cp:category/>
  <cp:lastModifiedBy>Snazzy Wealth Financial Advisor</cp:lastModifiedBy>
  <dcterms:created xsi:type="dcterms:W3CDTF">2026-10-08T10:52:21Z</dcterms:created>
  <dcterms:modified xsi:type="dcterms:W3CDTF">2026-10-08T10:52:21Z</dcterms:modified>
</cp:coreProperties>
</file>